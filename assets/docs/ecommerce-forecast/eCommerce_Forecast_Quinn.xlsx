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Assumptions" sheetId="2" r:id="rId6"/>
    <sheet state="visible" name="H2 2026 Forecast" sheetId="3" r:id="rId7"/>
    <sheet state="visible" name="Levers &amp; Elasticity" sheetId="4" r:id="rId8"/>
    <sheet state="visible" name="Channel Scorecard" sheetId="5" r:id="rId9"/>
    <sheet state="visible" name="Pressure Test" sheetId="6" r:id="rId10"/>
    <sheet state="visible" name="Monthly Data" sheetId="7" r:id="rId11"/>
    <sheet state="visible" name="Blended Summary" sheetId="8" r:id="rId12"/>
    <sheet state="visible" name="Unit Economics &amp; Calendar" sheetId="9" r:id="rId13"/>
    <sheet state="visible" name="Data Dictionary" sheetId="10" r:id="rId14"/>
  </sheets>
  <definedNames/>
  <calcPr/>
</workbook>
</file>

<file path=xl/sharedStrings.xml><?xml version="1.0" encoding="utf-8"?>
<sst xmlns="http://schemas.openxmlformats.org/spreadsheetml/2006/main" count="465" uniqueCount="251">
  <si>
    <t>Project overview</t>
  </si>
  <si>
    <t>A six-month revenue forecast and media-mix model I built for a single-product consumer hardware brand. The product is a small device that helps people break phone-addiction habits by locking distracting apps. Average order value is about $65. The brand sells direct to consumer through its own store and, since March 2026, on Amazon, with paid media running across Meta, Google, TikTok, and Amazon.</t>
  </si>
  <si>
    <t>The Monthly Data tab holds 12 months of channel performance (July 2025 to June 2026). Unit economics, the seasonality/promo calendar, and a data dictionary sit on their own tabs.</t>
  </si>
  <si>
    <t>What the model does</t>
  </si>
  <si>
    <t>1.  Forecast and levers</t>
  </si>
  <si>
    <t>Projects H2 2026 revenue against a target of +20% growth over the trailing six months (January to June 2026), with core assumptions stated explicitly. It also quantifies which lever moves revenue more: a five-point shift in conversion rate, or a 10% increase in spend, showing the elasticity behind that comparison.</t>
  </si>
  <si>
    <t>2.  The strategic call</t>
  </si>
  <si>
    <t>Flags the channel that's underperforming relative to its potential and recommends whether to optimize, pause, or scale it, backed by the data. The decision is framed around contribution margin, not just MER or ROAS.</t>
  </si>
  <si>
    <t>3.  Pressure test</t>
  </si>
  <si>
    <t>Models about 15% media inflation next quarter and shows how to adjust the media mix to hold a blended MER at or below 35% without giving up total revenue, including the trade-offs involved.</t>
  </si>
  <si>
    <t>Approach</t>
  </si>
  <si>
    <t>Built for transparency: every blue cell is an editable input, every black cell is a calculation, and green cells link to another tab. Assumptions are stated up front, and sensitivity/elasticity thinking runs through the levers section so the reasoning is visible rather than a single black-box number.</t>
  </si>
  <si>
    <t>Note: MER is defined as marketing spend divided by revenue (lower is better). Assumptions are called out inline where I had to make a judgment call or fill a gap in the data.</t>
  </si>
  <si>
    <t>H2 2026 Forecast: Key Assumptions &amp; Drivers</t>
  </si>
  <si>
    <t>Blue = editable input. Black = formula/calculation. Green = link to another tab. Adjust the blue cells to test different scenarios; everything downstream recalculates.</t>
  </si>
  <si>
    <t>Unit Economics (Pulled from Unit Economics &amp; Calendar)</t>
  </si>
  <si>
    <t>Average order value (AOV, $)</t>
  </si>
  <si>
    <t>Gross margin %</t>
  </si>
  <si>
    <t>Amazon marketplace fee %</t>
  </si>
  <si>
    <t>DTC gross profit per unit ($)</t>
  </si>
  <si>
    <t>Amazon gross profit per unit ($)</t>
  </si>
  <si>
    <t>Trailing 6-Month Actuals (Jan-Jun 2026) &amp; Growth Target</t>
  </si>
  <si>
    <t>Trailing 6mo total spend ($)</t>
  </si>
  <si>
    <t>Trailing 6mo total conversions</t>
  </si>
  <si>
    <t>Trailing 6mo total revenue ($)</t>
  </si>
  <si>
    <t>Trailing 6mo Amazon revenue ($)</t>
  </si>
  <si>
    <t>Amazon only has data for Mar-Jun '26, fully inside the trailing window</t>
  </si>
  <si>
    <t>Trailing 6mo core (Meta+Google+TikTok) revenue ($)</t>
  </si>
  <si>
    <t>Trailing avg season index (Jan-Jun)</t>
  </si>
  <si>
    <t>Target revenue growth, H2 vs trailing 6mo</t>
  </si>
  <si>
    <t>Target H2 2026 revenue ($)</t>
  </si>
  <si>
    <t>H2 2026 Seasonality — Assumed to Repeat the Jul-Dec 2025 Pattern (Only Year of Data We Have)</t>
  </si>
  <si>
    <t xml:space="preserve">  Jul 2026 season index</t>
  </si>
  <si>
    <t xml:space="preserve">  Aug 2026 season index</t>
  </si>
  <si>
    <t xml:space="preserve">  Sep 2026 season index</t>
  </si>
  <si>
    <t xml:space="preserve">  Oct 2026 season index</t>
  </si>
  <si>
    <t xml:space="preserve">  Nov 2026 (BFCM) season index</t>
  </si>
  <si>
    <t xml:space="preserve">  Dec 2026 (Holiday) season index</t>
  </si>
  <si>
    <t>Forecast avg season index (Jul-Dec)</t>
  </si>
  <si>
    <t>Channel Strategy Levers (H2 Forecast Inputs)</t>
  </si>
  <si>
    <t>Channel</t>
  </si>
  <si>
    <t>Spend multiplier
vs June run-rate</t>
  </si>
  <si>
    <t>CAC trend
adjustment %</t>
  </si>
  <si>
    <t>Strategic note</t>
  </si>
  <si>
    <t>Meta</t>
  </si>
  <si>
    <t>Optimize: cap spend growth to seasonal pace only, push CAC efficiency before adding budget.</t>
  </si>
  <si>
    <t>Google</t>
  </si>
  <si>
    <t>Primary scaling destination; highest contribution/unit ($22) in the mix. Growth capped by demand ceiling, so monitor CPAs closely.</t>
  </si>
  <si>
    <t>TikTok</t>
  </si>
  <si>
    <t>Scale modestly; improving CAC trend supports higher spend, but hold back from aggressive scaling during an inflation quarter.</t>
  </si>
  <si>
    <t>Amazon</t>
  </si>
  <si>
    <t>Continue the ramp; BFCM/Holiday seasonality for this channel is genuinely unknown -- biggest assumption in this model.</t>
  </si>
  <si>
    <t>Lever Sensitivity Inputs (Spend vs. CVR Lever)</t>
  </si>
  <si>
    <t>Lever A: spend increase %</t>
  </si>
  <si>
    <t>Lever B1: literal blended CVR shift (points)</t>
  </si>
  <si>
    <t>Taking "five points" literally at the blended level. Shown to demonstrate why this unit breaks down.</t>
  </si>
  <si>
    <t>Lever B2: realistic blended CVR shift (points)</t>
  </si>
  <si>
    <t>A more achievable 0.5pp improvement. The fair comparison to Lever A.</t>
  </si>
  <si>
    <t>Pressure Test Inputs (Media Inflation)</t>
  </si>
  <si>
    <t>Media inflation assumption, next quarter</t>
  </si>
  <si>
    <t>Target blended MER ceiling</t>
  </si>
  <si>
    <t>H2 2026 (Jul-Dec) Forecast by Channel</t>
  </si>
  <si>
    <t>Drives off the Assumptions tab. Edit the spend multipliers / CAC adjustments there to test alternative forecasts here.</t>
  </si>
  <si>
    <t>Jul 2026</t>
  </si>
  <si>
    <t>Aug 2026</t>
  </si>
  <si>
    <t>Sep 2026</t>
  </si>
  <si>
    <t>Oct 2026</t>
  </si>
  <si>
    <t>Nov 2026</t>
  </si>
  <si>
    <t>Dec 2026</t>
  </si>
  <si>
    <t>H2 2026 Total</t>
  </si>
  <si>
    <t>Month #</t>
  </si>
  <si>
    <t>Season index</t>
  </si>
  <si>
    <t>Spend ($)</t>
  </si>
  <si>
    <t>Projected CAC ($)</t>
  </si>
  <si>
    <t>Conversions</t>
  </si>
  <si>
    <t>Revenue ($)</t>
  </si>
  <si>
    <t>Contribution / unit ($)</t>
  </si>
  <si>
    <t>Total contribution ($)</t>
  </si>
  <si>
    <t>Projected CAC held constant due to lack of historical data</t>
  </si>
  <si>
    <t>Blended Total — All Channels</t>
  </si>
  <si>
    <t>Total spend ($)</t>
  </si>
  <si>
    <t>Total conversions</t>
  </si>
  <si>
    <t>Total revenue ($)</t>
  </si>
  <si>
    <t>Blended CAC ($)</t>
  </si>
  <si>
    <t>Blended MER</t>
  </si>
  <si>
    <t>H2 2026 vs. +20% Target</t>
  </si>
  <si>
    <t>H2 2026 forecast revenue ($)</t>
  </si>
  <si>
    <t>Target H2 2026 revenue ($) [+20% vs trailing]</t>
  </si>
  <si>
    <t>Variance vs target ($)</t>
  </si>
  <si>
    <t>Variance vs target (%)</t>
  </si>
  <si>
    <t>Status</t>
  </si>
  <si>
    <t>Where Does the +20% Actually Come From?</t>
  </si>
  <si>
    <t>This deconstructs the forecast into what is structural (seasonality, Amazon's first full half-year) vs. what genuinely requires the strategic mix and pressure-test moves below. Components sum to the forecast total by construction.</t>
  </si>
  <si>
    <t>Trailing 6mo revenue (baseline)</t>
  </si>
  <si>
    <t>+ Core seasonal swing (Jul-Dec vs Jan-Jun calendar effect)</t>
  </si>
  <si>
    <t>+ Amazon incremental (full 6 active months vs. 4 trailing)</t>
  </si>
  <si>
    <t>+ Net strategic mix / efficiency effect (mix and pressure-test moves, residual)</t>
  </si>
  <si>
    <t>H2 2026 forecast revenue total (check)</t>
  </si>
  <si>
    <t>Levers &amp; Elasticity: Spend vs. Conversion Rate</t>
  </si>
  <si>
    <t>Which lever moves revenue more: a 10% spend increase, or a CVR improvement? Edit the blue inputs on the Assumptions tab to test other sizes.</t>
  </si>
  <si>
    <t>Baseline — Trailing 6 Months (Jan-Jun 2026)</t>
  </si>
  <si>
    <t>Total clicks</t>
  </si>
  <si>
    <t>Blended CVR</t>
  </si>
  <si>
    <t>Lever A — Increase Spend by X% (Note: Holds CPC and CVR Constant)</t>
  </si>
  <si>
    <t>Spend increase %</t>
  </si>
  <si>
    <t>Incremental spend ($)</t>
  </si>
  <si>
    <t>New conversions (linear)</t>
  </si>
  <si>
    <t>New revenue ($)</t>
  </si>
  <si>
    <t>Revenue lift ($)</t>
  </si>
  <si>
    <t>Implied marginal ROAS on the new dollars</t>
  </si>
  <si>
    <t>Naive/linear by design. Real marginal ROAS is almost certainly lower given the worsening CAC trend on Meta and Google. This is really an upper bound.</t>
  </si>
  <si>
    <t>Lever B1 — Literal Five-Point Blended CVR Shift</t>
  </si>
  <si>
    <t>Baseline blended CVR</t>
  </si>
  <si>
    <t>Literal CVR shift (points)</t>
  </si>
  <si>
    <t>New CVR</t>
  </si>
  <si>
    <t>Relative increase in CVR</t>
  </si>
  <si>
    <t>New conversions</t>
  </si>
  <si>
    <t>Taking "five points" literally at the blended level means nearly tripling conversion efficiency overnight, which is not a credible improvement. Flagged red above. Shown only to illustrate why the unit matters.</t>
  </si>
  <si>
    <t>Lever B2 — Realistic Half-Point (0.5pp) CVR Shift (The Fair Comparison to Lever A)</t>
  </si>
  <si>
    <t>Realistic CVR shift (points)</t>
  </si>
  <si>
    <t>Head-to-Head: Which Lever Wins?</t>
  </si>
  <si>
    <t>Lever A revenue lift: +10% spend ($)</t>
  </si>
  <si>
    <t>Lever B2 revenue lift: +0.5pp CVR ($)</t>
  </si>
  <si>
    <t>Lever B2 lift as a multiple of Lever A</t>
  </si>
  <si>
    <t>A 0.5pp CVR gain delivers roughly 1.92x the revenue of a 10% spend increase, with zero added CAC. CVR work (landing page, checkout, offer) is the higher-impact lever in this scenario.</t>
  </si>
  <si>
    <t>Channel Scorecard: June 2026 Snapshot + 12-Month Trend</t>
  </si>
  <si>
    <t>Spend share vs. contribution share is the real story here, not MER or CAC alone.</t>
  </si>
  <si>
    <t>Metric</t>
  </si>
  <si>
    <t>Blended Total</t>
  </si>
  <si>
    <t>June spend ($)</t>
  </si>
  <si>
    <t>Spend share of total</t>
  </si>
  <si>
    <t>June revenue ($)</t>
  </si>
  <si>
    <t>June MER</t>
  </si>
  <si>
    <t>June CVR</t>
  </si>
  <si>
    <t>June CAC ($)</t>
  </si>
  <si>
    <t>June conversions</t>
  </si>
  <si>
    <t>CAC, first month on record ($)</t>
  </si>
  <si>
    <t>CAC change, first → last month</t>
  </si>
  <si>
    <t>Gross profit / unit ($)</t>
  </si>
  <si>
    <t>Contribution / unit, June ($)</t>
  </si>
  <si>
    <t>Total contribution, June ($)</t>
  </si>
  <si>
    <t>Share of total June contribution</t>
  </si>
  <si>
    <t>Optimize Media Mix (Same Total Budget, Reallocated)</t>
  </si>
  <si>
    <t>Total spend, held equal to current total ($)</t>
  </si>
  <si>
    <t>Spend share — EDITABLE</t>
  </si>
  <si>
    <t>New total contribution ($)</t>
  </si>
  <si>
    <t>New share of total contribution</t>
  </si>
  <si>
    <t>Revenue vs. current (%)</t>
  </si>
  <si>
    <t>Contribution vs. current (%)</t>
  </si>
  <si>
    <t>My Recommendation</t>
  </si>
  <si>
    <t>The underperforming channel is Meta.
It represents 57% of total spend but generates only 26% of contribution -- the worst spend-to-contribution ratio in the portfolio, with CAC worsening 41% over the past year. The recommendation is not to pause it (no channel is contribution-negative) but to cut its share from 57% to 20% and redirect that budget toward higher-efficiency channels.
Google is the primary destination: 21% of spend but 48% of contribution, and the highest contribution per unit ($22) in the mix. TikTok gets a modest scale test at 12% share, supported by its -41% CAC trend. Amazon absorbs the remainder at 28%, with the caveat that its $17 CAC is misleading without the fee adjustment: contribution per unit is $12.25, roughly half of Google's, because the 15% marketplace fee compresses margin in a way that CAC and MER alone don't surface.
Proposed mix: Meta 20%, Google 40%, TikTok 12%, Amazon 28%. Same total budget, +48% contribution, +21% revenue.
The strategic call in one sentence: cut Meta, load up on Google where the contribution math is clearest, scale TikTok modestly, and watch Amazon's margin structure closely as spend grows.</t>
  </si>
  <si>
    <t>Pressure Test: 15% Media Inflation Next Quarter</t>
  </si>
  <si>
    <t>Goal: hold blended MER at or below the ceiling without losing revenue.</t>
  </si>
  <si>
    <t>Current State — June 2026 Actuals (Pre-Inflation Baseline)</t>
  </si>
  <si>
    <t>CAC ($)</t>
  </si>
  <si>
    <t>MER</t>
  </si>
  <si>
    <t>Inflation &amp; Target (From Assumptions Tab)</t>
  </si>
  <si>
    <t>Media inflation, next quarter</t>
  </si>
  <si>
    <t>Scenario A — Do Nothing (Hold Spend Flat, CAC Increases)</t>
  </si>
  <si>
    <t>Post-inflation CAC ($)</t>
  </si>
  <si>
    <t>Spend ($) [held flat]</t>
  </si>
  <si>
    <t>Doing nothing fails on both counts: MER exceeds the ceiling and revenue drops, because inflation hits every channel's CAC equally while spend stays put.</t>
  </si>
  <si>
    <t>Scenario B — Optimize Media Mix (Same Total Budget, Reallocated)</t>
  </si>
  <si>
    <t>Post-inflation CAC ($) [same as Scenario A]</t>
  </si>
  <si>
    <t>Spend shares must sum to 100% (flagged red above if not).</t>
  </si>
  <si>
    <t>Real-World Constraints</t>
  </si>
  <si>
    <t>Google: demand-limited per case notes, so can't absorb unlimited extra budget at the same efficiency; the 40% share above assumes meaningful room to grow but not unlimited room. Worth monitoring CPAs closely as spend increases.
Amazon: every extra dollar here still carries the 15% marketplace fee, so shifting budget to Amazon protects MER better than it protects contribution margin. It's important to keep this trade-off in mind.
TikTok: held at current share (8%) rather than scaled during an inflation quarter. The improving CAC trend is compelling but untested at higher spend levels, so stacking a scale test on top of a cost-pressure environment adds unnecessary risk. The scaling argument is stronger in a stable quarter.
Meta: cutting from 57% to 20% is the most defensible move given the worst trend and worst unit economics in the mix, but it is also the largest channel to unwind quickly without disrupting volume if the reallocation underperforms.</t>
  </si>
  <si>
    <t>Month</t>
  </si>
  <si>
    <t>Season Index</t>
  </si>
  <si>
    <t>Promo</t>
  </si>
  <si>
    <t>Impressions</t>
  </si>
  <si>
    <t>Clicks</t>
  </si>
  <si>
    <t>ROAS</t>
  </si>
  <si>
    <t>CTR</t>
  </si>
  <si>
    <t>CVR</t>
  </si>
  <si>
    <t>CPC ($)</t>
  </si>
  <si>
    <t>CPM ($)</t>
  </si>
  <si>
    <t>2026-03</t>
  </si>
  <si>
    <t>2026-04</t>
  </si>
  <si>
    <t>2026-05</t>
  </si>
  <si>
    <t>Memorial</t>
  </si>
  <si>
    <t>2026-06</t>
  </si>
  <si>
    <t>2025-07</t>
  </si>
  <si>
    <t>2025-08</t>
  </si>
  <si>
    <t>2025-09</t>
  </si>
  <si>
    <t>2025-10</t>
  </si>
  <si>
    <t>2025-11</t>
  </si>
  <si>
    <t>BFCM</t>
  </si>
  <si>
    <t>2025-12</t>
  </si>
  <si>
    <t>Holiday</t>
  </si>
  <si>
    <t>2026-01</t>
  </si>
  <si>
    <t>New Year</t>
  </si>
  <si>
    <t>2026-02</t>
  </si>
  <si>
    <t>Total Spend ($)</t>
  </si>
  <si>
    <t>Total Conversions</t>
  </si>
  <si>
    <t>Total Revenue ($)</t>
  </si>
  <si>
    <t>Blended ROAS</t>
  </si>
  <si>
    <t>TOTAL / Avg</t>
  </si>
  <si>
    <t>Unit Economics and Assumptions</t>
  </si>
  <si>
    <t>Average order value (AOV)</t>
  </si>
  <si>
    <t>COGS % (=1 - gross margin)</t>
  </si>
  <si>
    <t>DTC gross profit per unit</t>
  </si>
  <si>
    <t>Amazon gross profit per unit</t>
  </si>
  <si>
    <t>Contribution per unit = gross profit per unit minus channel CAC. Amazon carries the 15% marketplace fee, so its gross profit per unit is lower than DTC even when its CAC looks attractive.</t>
  </si>
  <si>
    <t>Seasonality and Promo Calendar</t>
  </si>
  <si>
    <t>Promo Event</t>
  </si>
  <si>
    <t>Black Friday / Cyber Monday</t>
  </si>
  <si>
    <t>Holiday peak</t>
  </si>
  <si>
    <t>New Year (resolution demand)</t>
  </si>
  <si>
    <t>Memorial Day sale</t>
  </si>
  <si>
    <t>Channel Roles (context)</t>
  </si>
  <si>
    <t>Primary prospecting and volume; largest spend; broad audiences.</t>
  </si>
  <si>
    <t>High-intent capture including brand search; very efficient but demand-limited.</t>
  </si>
  <si>
    <t>Emerging upper-funnel channel; smaller spend; newer to the mix.</t>
  </si>
  <si>
    <t>Marketplace; launched March 2026; subject to a referral fee on revenue.</t>
  </si>
  <si>
    <t>Data Dictionary</t>
  </si>
  <si>
    <t>Field</t>
  </si>
  <si>
    <t>Definition</t>
  </si>
  <si>
    <t>Formula / Notes</t>
  </si>
  <si>
    <t>Calendar month</t>
  </si>
  <si>
    <t>Jul 2025 to Jun 2026</t>
  </si>
  <si>
    <t>Paid media channel</t>
  </si>
  <si>
    <t>Meta, Google, TikTok, Amazon</t>
  </si>
  <si>
    <t>Relative demand vs a 1.00 baseline</t>
  </si>
  <si>
    <t>Given input</t>
  </si>
  <si>
    <t>Promotional event in that month</t>
  </si>
  <si>
    <t>Spend</t>
  </si>
  <si>
    <t>Media spend</t>
  </si>
  <si>
    <t>Impressions / Clicks / Conversions</t>
  </si>
  <si>
    <t>Delivery and orders</t>
  </si>
  <si>
    <t>Given inputs; last-click attribution</t>
  </si>
  <si>
    <t>CAC</t>
  </si>
  <si>
    <t>Customer acquisition cost</t>
  </si>
  <si>
    <t>Spend / Conversions</t>
  </si>
  <si>
    <t>Revenue</t>
  </si>
  <si>
    <t>Channel revenue</t>
  </si>
  <si>
    <t>Conversions x AOV (AOV constant at $65)</t>
  </si>
  <si>
    <t>Marketing efficiency ratio</t>
  </si>
  <si>
    <t>Spend / Revenue; lower is better</t>
  </si>
  <si>
    <t>Return on ad spend</t>
  </si>
  <si>
    <t>Revenue / Spend</t>
  </si>
  <si>
    <t>CTR / CVR</t>
  </si>
  <si>
    <t>Click and conversion rates</t>
  </si>
  <si>
    <t>Clicks / Impressions ; Conversions / Clicks</t>
  </si>
  <si>
    <t>CPC / CPM</t>
  </si>
  <si>
    <t>Cost per click / per mille</t>
  </si>
  <si>
    <t>Spend / Clicks ; Spend / Impressions x 1000</t>
  </si>
  <si>
    <t>Contribution / unit</t>
  </si>
  <si>
    <t>Profit after COGS and CAC</t>
  </si>
  <si>
    <t>Gross profit per unit minus CAC (see Unit Economics)</t>
  </si>
  <si>
    <t>Note: Revenue uses a constant AOV for simplicity, so it tracks order volume.</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</si>
</sst>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0"/>
    <numFmt numFmtId="165" formatCode="0.0%"/>
    <numFmt numFmtId="166" formatCode="\$#,##0"/>
    <numFmt numFmtId="167" formatCode="0.00\x"/>
    <numFmt numFmtId="168" formatCode="\+0%;\-0%;0%"/>
    <numFmt numFmtId="169" formatCode="\$#,##0;&quot;($&quot;#,##0\)"/>
    <numFmt numFmtId="170" formatCode="\+0.0%;\-0.0%"/>
    <numFmt numFmtId="171" formatCode="\+0%"/>
    <numFmt numFmtId="172" formatCode="&quot;$&quot;#,##0.00"/>
    <numFmt numFmtId="173" formatCode="\+0%;\-0%"/>
  </numFmts>
  <fonts count="18">
    <font>
      <sz val="11.0"/>
      <color theme="1"/>
      <name val="Calibri"/>
      <scheme val="minor"/>
    </font>
    <font>
      <sz val="11.0"/>
      <color theme="1"/>
      <name val="Calibri"/>
    </font>
    <font>
      <b/>
      <sz val="11.0"/>
      <color rgb="FFFFFFFF"/>
      <name val="Arial"/>
    </font>
    <font/>
    <font>
      <sz val="10.0"/>
      <color rgb="FF000000"/>
      <name val="Arial"/>
    </font>
    <font>
      <b/>
      <sz val="10.0"/>
      <color rgb="FF000000"/>
      <name val="Arial"/>
    </font>
    <font>
      <i/>
      <sz val="10.0"/>
      <color rgb="FF595959"/>
      <name val="Arial"/>
    </font>
    <font>
      <b/>
      <sz val="12.0"/>
      <color rgb="FFFFFFFF"/>
      <name val="Arial"/>
    </font>
    <font>
      <i/>
      <sz val="9.0"/>
      <color rgb="FF666666"/>
      <name val="Arial"/>
    </font>
    <font>
      <b/>
      <sz val="10.0"/>
      <color rgb="FF1C2541"/>
      <name val="Arial"/>
    </font>
    <font>
      <sz val="10.0"/>
      <color rgb="FF008000"/>
      <name val="Arial"/>
    </font>
    <font>
      <sz val="10.0"/>
      <color rgb="FF0000FF"/>
      <name val="Arial"/>
    </font>
    <font>
      <b/>
      <sz val="10.0"/>
      <color theme="1"/>
      <name val="Arial"/>
    </font>
    <font>
      <b/>
      <sz val="10.0"/>
      <color rgb="FFFFFFFF"/>
      <name val="Arial"/>
    </font>
    <font>
      <sz val="10.0"/>
      <color theme="1"/>
      <name val="Arial"/>
    </font>
    <font>
      <sz val="10.0"/>
      <color rgb="FF1C2541"/>
      <name val="Arial"/>
    </font>
    <font>
      <b/>
      <sz val="13.0"/>
      <color rgb="FFFFFFFF"/>
      <name val="Arial"/>
    </font>
    <font>
      <i/>
      <sz val="9.0"/>
      <color rgb="FF595959"/>
      <name val="Arial"/>
    </font>
  </fonts>
  <fills count="11">
    <fill>
      <patternFill patternType="none"/>
    </fill>
    <fill>
      <patternFill patternType="lightGray"/>
    </fill>
    <fill>
      <patternFill patternType="solid">
        <fgColor rgb="FF2E5496"/>
        <bgColor rgb="FF2E5496"/>
      </patternFill>
    </fill>
    <fill>
      <patternFill patternType="solid">
        <fgColor rgb="FF1C2541"/>
        <bgColor rgb="FF1C2541"/>
      </patternFill>
    </fill>
    <fill>
      <patternFill patternType="solid">
        <fgColor rgb="FFD9E2F3"/>
        <bgColor rgb="FFD9E2F3"/>
      </patternFill>
    </fill>
    <fill>
      <patternFill patternType="solid">
        <fgColor rgb="FF5C6B8A"/>
        <bgColor rgb="FF5C6B8A"/>
      </patternFill>
    </fill>
    <fill>
      <patternFill patternType="solid">
        <fgColor rgb="FFE8E8E8"/>
        <bgColor rgb="FFE8E8E8"/>
      </patternFill>
    </fill>
    <fill>
      <patternFill patternType="solid">
        <fgColor rgb="FF1F3864"/>
        <bgColor rgb="FF1F3864"/>
      </patternFill>
    </fill>
    <fill>
      <patternFill patternType="solid">
        <fgColor rgb="FFF2F5FB"/>
        <bgColor rgb="FFF2F5FB"/>
      </patternFill>
    </fill>
    <fill>
      <patternFill patternType="solid">
        <fgColor rgb="FFD9E1F2"/>
        <bgColor rgb="FFD9E1F2"/>
      </patternFill>
    </fill>
    <fill>
      <patternFill patternType="solid">
        <fgColor rgb="FFFFF2CC"/>
        <bgColor rgb="FFFFF2CC"/>
      </patternFill>
    </fill>
  </fills>
  <borders count="8">
    <border/>
    <border>
      <left/>
      <top/>
      <bottom/>
    </border>
    <border>
      <top/>
      <bottom/>
    </border>
    <border>
      <right/>
      <top/>
      <bottom/>
    </border>
    <border>
      <left/>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Font="1"/>
    <xf borderId="1" fillId="2" fontId="2" numFmtId="0" xfId="0" applyAlignment="1" applyBorder="1" applyFill="1" applyFont="1">
      <alignment horizontal="left" vertical="center"/>
    </xf>
    <xf borderId="2" fillId="0" fontId="3" numFmtId="0" xfId="0" applyBorder="1" applyFont="1"/>
    <xf borderId="3" fillId="0" fontId="3" numFmtId="0" xfId="0" applyBorder="1" applyFont="1"/>
    <xf borderId="0" fillId="0" fontId="4" numFmtId="0" xfId="0" applyAlignment="1" applyFont="1">
      <alignment horizontal="left" shrinkToFit="0" vertical="top" wrapText="1"/>
    </xf>
    <xf borderId="0" fillId="0" fontId="5" numFmtId="0" xfId="0" applyAlignment="1" applyFont="1">
      <alignment horizontal="left" shrinkToFit="0" vertical="top" wrapText="1"/>
    </xf>
    <xf borderId="0" fillId="0" fontId="6" numFmtId="0" xfId="0" applyAlignment="1" applyFont="1">
      <alignment horizontal="left" shrinkToFit="0" vertical="top" wrapText="1"/>
    </xf>
    <xf borderId="1" fillId="3" fontId="7" numFmtId="0" xfId="0" applyAlignment="1" applyBorder="1" applyFill="1" applyFont="1">
      <alignment vertical="center"/>
    </xf>
    <xf borderId="0" fillId="0" fontId="8" numFmtId="0" xfId="0" applyAlignment="1" applyFont="1">
      <alignment shrinkToFit="0" vertical="bottom" wrapText="1"/>
    </xf>
    <xf borderId="1" fillId="4" fontId="9" numFmtId="0" xfId="0" applyAlignment="1" applyBorder="1" applyFill="1" applyFont="1">
      <alignment vertical="center"/>
    </xf>
    <xf borderId="0" fillId="0" fontId="4" numFmtId="0" xfId="0" applyAlignment="1" applyFont="1">
      <alignment vertical="bottom"/>
    </xf>
    <xf borderId="0" fillId="0" fontId="10" numFmtId="164" xfId="0" applyAlignment="1" applyFont="1" applyNumberFormat="1">
      <alignment vertical="bottom"/>
    </xf>
    <xf borderId="0" fillId="0" fontId="10" numFmtId="165" xfId="0" applyAlignment="1" applyFont="1" applyNumberFormat="1">
      <alignment vertical="bottom"/>
    </xf>
    <xf borderId="0" fillId="0" fontId="10" numFmtId="166" xfId="0" applyAlignment="1" applyFont="1" applyNumberFormat="1">
      <alignment vertical="bottom"/>
    </xf>
    <xf borderId="0" fillId="0" fontId="10" numFmtId="3" xfId="0" applyAlignment="1" applyFont="1" applyNumberFormat="1">
      <alignment vertical="bottom"/>
    </xf>
    <xf borderId="0" fillId="0" fontId="4" numFmtId="166" xfId="0" applyAlignment="1" applyFont="1" applyNumberFormat="1">
      <alignment vertical="bottom"/>
    </xf>
    <xf borderId="0" fillId="0" fontId="10" numFmtId="2" xfId="0" applyAlignment="1" applyFont="1" applyNumberFormat="1">
      <alignment vertical="bottom"/>
    </xf>
    <xf borderId="0" fillId="0" fontId="5" numFmtId="0" xfId="0" applyAlignment="1" applyFont="1">
      <alignment vertical="bottom"/>
    </xf>
    <xf borderId="0" fillId="0" fontId="11" numFmtId="9" xfId="0" applyAlignment="1" applyFont="1" applyNumberFormat="1">
      <alignment vertical="bottom"/>
    </xf>
    <xf borderId="0" fillId="0" fontId="12" numFmtId="166" xfId="0" applyAlignment="1" applyFont="1" applyNumberFormat="1">
      <alignment vertical="bottom"/>
    </xf>
    <xf borderId="0" fillId="0" fontId="4" numFmtId="2" xfId="0" applyAlignment="1" applyFont="1" applyNumberFormat="1">
      <alignment vertical="bottom"/>
    </xf>
    <xf borderId="0" fillId="0" fontId="5" numFmtId="0" xfId="0" applyAlignment="1" applyFont="1">
      <alignment shrinkToFit="0" vertical="center" wrapText="1"/>
    </xf>
    <xf borderId="0" fillId="0" fontId="11" numFmtId="167" xfId="0" applyAlignment="1" applyFont="1" applyNumberFormat="1">
      <alignment vertical="bottom"/>
    </xf>
    <xf borderId="0" fillId="0" fontId="11" numFmtId="168" xfId="0" applyAlignment="1" applyFont="1" applyNumberFormat="1">
      <alignment vertical="bottom"/>
    </xf>
    <xf borderId="0" fillId="0" fontId="11" numFmtId="165" xfId="0" applyAlignment="1" applyFont="1" applyNumberFormat="1">
      <alignment vertical="bottom"/>
    </xf>
    <xf borderId="0" fillId="0" fontId="5" numFmtId="0" xfId="0" applyAlignment="1" applyFont="1">
      <alignment horizontal="center" vertical="bottom"/>
    </xf>
    <xf borderId="0" fillId="0" fontId="8" numFmtId="0" xfId="0" applyAlignment="1" applyFont="1">
      <alignment vertical="bottom"/>
    </xf>
    <xf borderId="0" fillId="0" fontId="8" numFmtId="0" xfId="0" applyAlignment="1" applyFont="1">
      <alignment horizontal="center" vertical="bottom"/>
    </xf>
    <xf borderId="1" fillId="5" fontId="13" numFmtId="0" xfId="0" applyAlignment="1" applyBorder="1" applyFill="1" applyFont="1">
      <alignment vertical="center"/>
    </xf>
    <xf borderId="0" fillId="0" fontId="4" numFmtId="164" xfId="0" applyAlignment="1" applyFont="1" applyNumberFormat="1">
      <alignment vertical="bottom"/>
    </xf>
    <xf borderId="0" fillId="0" fontId="4" numFmtId="3" xfId="0" applyAlignment="1" applyFont="1" applyNumberFormat="1">
      <alignment vertical="bottom"/>
    </xf>
    <xf borderId="1" fillId="3" fontId="13" numFmtId="0" xfId="0" applyAlignment="1" applyBorder="1" applyFont="1">
      <alignment vertical="center"/>
    </xf>
    <xf borderId="4" fillId="6" fontId="5" numFmtId="166" xfId="0" applyAlignment="1" applyBorder="1" applyFill="1" applyFont="1" applyNumberFormat="1">
      <alignment vertical="bottom"/>
    </xf>
    <xf borderId="4" fillId="6" fontId="5" numFmtId="3" xfId="0" applyAlignment="1" applyBorder="1" applyFont="1" applyNumberFormat="1">
      <alignment vertical="bottom"/>
    </xf>
    <xf borderId="4" fillId="6" fontId="4" numFmtId="164" xfId="0" applyAlignment="1" applyBorder="1" applyFont="1" applyNumberFormat="1">
      <alignment vertical="bottom"/>
    </xf>
    <xf borderId="4" fillId="6" fontId="4" numFmtId="165" xfId="0" applyAlignment="1" applyBorder="1" applyFont="1" applyNumberFormat="1">
      <alignment vertical="bottom"/>
    </xf>
    <xf borderId="0" fillId="0" fontId="4" numFmtId="169" xfId="0" applyAlignment="1" applyFont="1" applyNumberFormat="1">
      <alignment vertical="bottom"/>
    </xf>
    <xf borderId="0" fillId="0" fontId="4" numFmtId="170" xfId="0" applyAlignment="1" applyFont="1" applyNumberFormat="1">
      <alignment vertical="bottom"/>
    </xf>
    <xf borderId="0" fillId="0" fontId="4" numFmtId="0" xfId="0" applyAlignment="1" applyFont="1">
      <alignment horizontal="right" vertical="bottom"/>
    </xf>
    <xf quotePrefix="1" borderId="0" fillId="0" fontId="4" numFmtId="0" xfId="0" applyAlignment="1" applyFont="1">
      <alignment vertical="bottom"/>
    </xf>
    <xf borderId="0" fillId="0" fontId="4" numFmtId="10" xfId="0" applyAlignment="1" applyFont="1" applyNumberFormat="1">
      <alignment vertical="bottom"/>
    </xf>
    <xf borderId="0" fillId="0" fontId="10" numFmtId="9" xfId="0" applyAlignment="1" applyFont="1" applyNumberFormat="1">
      <alignment vertical="bottom"/>
    </xf>
    <xf borderId="0" fillId="0" fontId="5" numFmtId="166" xfId="0" applyAlignment="1" applyFont="1" applyNumberFormat="1">
      <alignment vertical="bottom"/>
    </xf>
    <xf borderId="0" fillId="0" fontId="4" numFmtId="167" xfId="0" applyAlignment="1" applyFont="1" applyNumberFormat="1">
      <alignment vertical="bottom"/>
    </xf>
    <xf borderId="0" fillId="0" fontId="5" numFmtId="171" xfId="0" applyAlignment="1" applyFont="1" applyNumberFormat="1">
      <alignment vertical="bottom"/>
    </xf>
    <xf borderId="0" fillId="0" fontId="4" numFmtId="171" xfId="0" applyAlignment="1" applyFont="1" applyNumberFormat="1">
      <alignment vertical="bottom"/>
    </xf>
    <xf borderId="0" fillId="0" fontId="5" numFmtId="167" xfId="0" applyAlignment="1" applyFont="1" applyNumberFormat="1">
      <alignment vertical="bottom"/>
    </xf>
    <xf borderId="0" fillId="0" fontId="4" numFmtId="165" xfId="0" applyAlignment="1" applyFont="1" applyNumberFormat="1">
      <alignment vertical="bottom"/>
    </xf>
    <xf borderId="4" fillId="6" fontId="5" numFmtId="9" xfId="0" applyAlignment="1" applyBorder="1" applyFont="1" applyNumberFormat="1">
      <alignment vertical="bottom"/>
    </xf>
    <xf borderId="0" fillId="6" fontId="12" numFmtId="165" xfId="0" applyAlignment="1" applyFont="1" applyNumberFormat="1">
      <alignment vertical="bottom"/>
    </xf>
    <xf borderId="0" fillId="0" fontId="14" numFmtId="0" xfId="0" applyAlignment="1" applyFont="1">
      <alignment vertical="bottom"/>
    </xf>
    <xf borderId="0" fillId="6" fontId="12" numFmtId="172" xfId="0" applyAlignment="1" applyFont="1" applyNumberFormat="1">
      <alignment vertical="bottom"/>
    </xf>
    <xf borderId="0" fillId="0" fontId="14" numFmtId="0" xfId="0" applyFont="1"/>
    <xf borderId="0" fillId="0" fontId="14" numFmtId="3" xfId="0" applyFont="1" applyNumberFormat="1"/>
    <xf borderId="0" fillId="6" fontId="12" numFmtId="3" xfId="0" applyAlignment="1" applyFont="1" applyNumberFormat="1">
      <alignment vertical="bottom"/>
    </xf>
    <xf borderId="0" fillId="0" fontId="4" numFmtId="173" xfId="0" applyAlignment="1" applyFont="1" applyNumberFormat="1">
      <alignment vertical="bottom"/>
    </xf>
    <xf borderId="0" fillId="0" fontId="5" numFmtId="165" xfId="0" applyAlignment="1" applyFont="1" applyNumberFormat="1">
      <alignment vertical="bottom"/>
    </xf>
    <xf borderId="0" fillId="0" fontId="14" numFmtId="165" xfId="0" applyAlignment="1" applyFont="1" applyNumberFormat="1">
      <alignment vertical="bottom"/>
    </xf>
    <xf borderId="4" fillId="6" fontId="5" numFmtId="165" xfId="0" applyAlignment="1" applyBorder="1" applyFont="1" applyNumberFormat="1">
      <alignment vertical="bottom"/>
    </xf>
    <xf borderId="4" fillId="6" fontId="5" numFmtId="170" xfId="0" applyAlignment="1" applyBorder="1" applyFont="1" applyNumberFormat="1">
      <alignment vertical="bottom"/>
    </xf>
    <xf borderId="0" fillId="0" fontId="15" numFmtId="0" xfId="0" applyAlignment="1" applyFont="1">
      <alignment shrinkToFit="0" vertical="top" wrapText="1"/>
    </xf>
    <xf borderId="4" fillId="6" fontId="5" numFmtId="164" xfId="0" applyAlignment="1" applyBorder="1" applyFont="1" applyNumberFormat="1">
      <alignment vertical="bottom"/>
    </xf>
    <xf borderId="0" fillId="0" fontId="5" numFmtId="0" xfId="0" applyAlignment="1" applyFont="1">
      <alignment horizontal="right" vertical="bottom"/>
    </xf>
    <xf borderId="5" fillId="7" fontId="13" numFmtId="0" xfId="0" applyAlignment="1" applyBorder="1" applyFill="1" applyFont="1">
      <alignment horizontal="center" shrinkToFit="0" vertical="center" wrapText="1"/>
    </xf>
    <xf borderId="5" fillId="8" fontId="4" numFmtId="0" xfId="0" applyAlignment="1" applyBorder="1" applyFill="1" applyFont="1">
      <alignment horizontal="center" vertical="center"/>
    </xf>
    <xf borderId="5" fillId="8" fontId="4" numFmtId="2" xfId="0" applyAlignment="1" applyBorder="1" applyFont="1" applyNumberFormat="1">
      <alignment horizontal="center" vertical="center"/>
    </xf>
    <xf borderId="5" fillId="8" fontId="4" numFmtId="166" xfId="0" applyAlignment="1" applyBorder="1" applyFont="1" applyNumberFormat="1">
      <alignment horizontal="center" vertical="center"/>
    </xf>
    <xf borderId="5" fillId="8" fontId="4" numFmtId="3" xfId="0" applyAlignment="1" applyBorder="1" applyFont="1" applyNumberFormat="1">
      <alignment horizontal="center" vertical="center"/>
    </xf>
    <xf borderId="5" fillId="8" fontId="4" numFmtId="164" xfId="0" applyAlignment="1" applyBorder="1" applyFont="1" applyNumberFormat="1">
      <alignment horizontal="center" vertical="center"/>
    </xf>
    <xf borderId="5" fillId="8" fontId="10" numFmtId="166" xfId="0" applyAlignment="1" applyBorder="1" applyFont="1" applyNumberFormat="1">
      <alignment horizontal="center" vertical="center"/>
    </xf>
    <xf borderId="5" fillId="8" fontId="4" numFmtId="165" xfId="0" applyAlignment="1" applyBorder="1" applyFont="1" applyNumberFormat="1">
      <alignment horizontal="center" vertical="center"/>
    </xf>
    <xf borderId="5" fillId="8" fontId="4" numFmtId="167" xfId="0" applyAlignment="1" applyBorder="1" applyFont="1" applyNumberFormat="1">
      <alignment horizontal="center" vertical="center"/>
    </xf>
    <xf borderId="5" fillId="8" fontId="4" numFmtId="10" xfId="0" applyAlignment="1" applyBorder="1" applyFont="1" applyNumberFormat="1">
      <alignment horizontal="center" vertical="center"/>
    </xf>
    <xf borderId="5" fillId="0" fontId="4" numFmtId="0" xfId="0" applyAlignment="1" applyBorder="1" applyFont="1">
      <alignment horizontal="center" vertical="center"/>
    </xf>
    <xf borderId="5" fillId="0" fontId="4" numFmtId="2" xfId="0" applyAlignment="1" applyBorder="1" applyFont="1" applyNumberFormat="1">
      <alignment horizontal="center" vertical="center"/>
    </xf>
    <xf borderId="5" fillId="0" fontId="4" numFmtId="166" xfId="0" applyAlignment="1" applyBorder="1" applyFont="1" applyNumberFormat="1">
      <alignment horizontal="center" vertical="center"/>
    </xf>
    <xf borderId="5" fillId="0" fontId="4" numFmtId="3" xfId="0" applyAlignment="1" applyBorder="1" applyFont="1" applyNumberFormat="1">
      <alignment horizontal="center" vertical="center"/>
    </xf>
    <xf borderId="5" fillId="0" fontId="4" numFmtId="164" xfId="0" applyAlignment="1" applyBorder="1" applyFont="1" applyNumberFormat="1">
      <alignment horizontal="center" vertical="center"/>
    </xf>
    <xf borderId="5" fillId="0" fontId="10" numFmtId="166" xfId="0" applyAlignment="1" applyBorder="1" applyFont="1" applyNumberFormat="1">
      <alignment horizontal="center" vertical="center"/>
    </xf>
    <xf borderId="5" fillId="0" fontId="4" numFmtId="165" xfId="0" applyAlignment="1" applyBorder="1" applyFont="1" applyNumberFormat="1">
      <alignment horizontal="center" vertical="center"/>
    </xf>
    <xf borderId="5" fillId="0" fontId="4" numFmtId="167" xfId="0" applyAlignment="1" applyBorder="1" applyFont="1" applyNumberFormat="1">
      <alignment horizontal="center" vertical="center"/>
    </xf>
    <xf borderId="5" fillId="0" fontId="4" numFmtId="10" xfId="0" applyAlignment="1" applyBorder="1" applyFont="1" applyNumberFormat="1">
      <alignment horizontal="center" vertical="center"/>
    </xf>
    <xf borderId="5" fillId="0" fontId="10" numFmtId="3" xfId="0" applyAlignment="1" applyBorder="1" applyFont="1" applyNumberFormat="1">
      <alignment horizontal="center" vertical="center"/>
    </xf>
    <xf borderId="5" fillId="9" fontId="5" numFmtId="0" xfId="0" applyAlignment="1" applyBorder="1" applyFill="1" applyFont="1">
      <alignment horizontal="center" vertical="center"/>
    </xf>
    <xf borderId="5" fillId="9" fontId="5" numFmtId="166" xfId="0" applyAlignment="1" applyBorder="1" applyFont="1" applyNumberFormat="1">
      <alignment horizontal="center" vertical="center"/>
    </xf>
    <xf borderId="5" fillId="9" fontId="5" numFmtId="3" xfId="0" applyAlignment="1" applyBorder="1" applyFont="1" applyNumberFormat="1">
      <alignment horizontal="center" vertical="center"/>
    </xf>
    <xf borderId="5" fillId="9" fontId="5" numFmtId="164" xfId="0" applyAlignment="1" applyBorder="1" applyFont="1" applyNumberFormat="1">
      <alignment horizontal="center" vertical="center"/>
    </xf>
    <xf borderId="5" fillId="9" fontId="5" numFmtId="165" xfId="0" applyAlignment="1" applyBorder="1" applyFont="1" applyNumberFormat="1">
      <alignment horizontal="center" vertical="center"/>
    </xf>
    <xf borderId="5" fillId="9" fontId="5" numFmtId="167" xfId="0" applyAlignment="1" applyBorder="1" applyFont="1" applyNumberFormat="1">
      <alignment horizontal="center" vertical="center"/>
    </xf>
    <xf borderId="5" fillId="9" fontId="1" numFmtId="0" xfId="0" applyAlignment="1" applyBorder="1" applyFont="1">
      <alignment horizontal="center" vertical="center"/>
    </xf>
    <xf borderId="1" fillId="7" fontId="16" numFmtId="0" xfId="0" applyAlignment="1" applyBorder="1" applyFont="1">
      <alignment horizontal="left" vertical="center"/>
    </xf>
    <xf borderId="5" fillId="0" fontId="5" numFmtId="0" xfId="0" applyAlignment="1" applyBorder="1" applyFont="1">
      <alignment horizontal="left" vertical="center"/>
    </xf>
    <xf borderId="5" fillId="10" fontId="11" numFmtId="166" xfId="0" applyAlignment="1" applyBorder="1" applyFill="1" applyFont="1" applyNumberFormat="1">
      <alignment horizontal="center" vertical="center"/>
    </xf>
    <xf borderId="5" fillId="10" fontId="11" numFmtId="9" xfId="0" applyAlignment="1" applyBorder="1" applyFont="1" applyNumberFormat="1">
      <alignment horizontal="center" vertical="center"/>
    </xf>
    <xf borderId="5" fillId="0" fontId="4" numFmtId="9" xfId="0" applyAlignment="1" applyBorder="1" applyFont="1" applyNumberFormat="1">
      <alignment horizontal="center" vertical="center"/>
    </xf>
    <xf borderId="0" fillId="0" fontId="17" numFmtId="0" xfId="0" applyAlignment="1" applyFont="1">
      <alignment horizontal="left" shrinkToFit="0" vertical="top" wrapText="1"/>
    </xf>
    <xf borderId="1" fillId="2" fontId="7" numFmtId="0" xfId="0" applyAlignment="1" applyBorder="1" applyFont="1">
      <alignment horizontal="left" vertical="center"/>
    </xf>
    <xf borderId="5" fillId="7" fontId="13" numFmtId="0" xfId="0" applyAlignment="1" applyBorder="1" applyFont="1">
      <alignment horizontal="center" vertical="center"/>
    </xf>
    <xf borderId="5" fillId="0" fontId="5" numFmtId="0" xfId="0" applyAlignment="1" applyBorder="1" applyFont="1">
      <alignment vertical="bottom"/>
    </xf>
    <xf borderId="6" fillId="0" fontId="4" numFmtId="0" xfId="0" applyAlignment="1" applyBorder="1" applyFont="1">
      <alignment horizontal="left" shrinkToFit="0" vertical="center" wrapText="1"/>
    </xf>
    <xf borderId="7" fillId="0" fontId="3" numFmtId="0" xfId="0" applyBorder="1" applyFont="1"/>
    <xf borderId="5" fillId="2" fontId="13" numFmtId="0" xfId="0" applyAlignment="1" applyBorder="1" applyFont="1">
      <alignment horizontal="center" vertical="center"/>
    </xf>
    <xf borderId="5" fillId="0" fontId="5" numFmtId="0" xfId="0" applyAlignment="1" applyBorder="1" applyFont="1">
      <alignment horizontal="left" shrinkToFit="0" vertical="center" wrapText="1"/>
    </xf>
    <xf borderId="5" fillId="0" fontId="4" numFmtId="0" xfId="0" applyAlignment="1" applyBorder="1" applyFont="1">
      <alignment horizontal="left" shrinkToFit="0" vertical="center" wrapText="1"/>
    </xf>
    <xf borderId="5" fillId="0" fontId="14" numFmtId="0" xfId="0" applyAlignment="1" applyBorder="1" applyFont="1">
      <alignment horizontal="left" shrinkToFit="0" vertical="center" wrapText="1"/>
    </xf>
  </cellXfs>
  <cellStyles count="1">
    <cellStyle xfId="0" name="Normal" builtinId="0"/>
  </cellStyles>
  <dxfs count="4">
    <dxf>
      <font>
        <b/>
        <sz val="10.0"/>
        <color rgb="FF006100"/>
        <name val="Arial"/>
      </font>
      <fill>
        <patternFill patternType="solid">
          <fgColor rgb="FFC6EFCE"/>
          <bgColor rgb="FFC6EFCE"/>
        </patternFill>
      </fill>
      <border/>
    </dxf>
    <dxf>
      <font>
        <b/>
        <sz val="10.0"/>
        <color rgb="FF9C0006"/>
        <name val="Arial"/>
      </font>
      <fill>
        <patternFill patternType="solid">
          <fgColor rgb="FFFFC7CE"/>
          <bgColor rgb="FFFFC7CE"/>
        </patternFill>
      </fill>
      <border/>
    </dxf>
    <dxf>
      <font>
        <sz val="10.0"/>
        <color rgb="FF9C0006"/>
        <name val="Arial"/>
      </font>
      <fill>
        <patternFill patternType="solid">
          <fgColor rgb="FFFFC7CE"/>
          <bgColor rgb="FFFFC7CE"/>
        </patternFill>
      </fill>
      <border/>
    </dxf>
    <dxf>
      <font>
        <sz val="10.0"/>
        <color rgb="FF006100"/>
        <name val="Arial"/>
      </font>
      <fill>
        <patternFill patternType="solid">
          <fgColor rgb="FFC6EFCE"/>
          <bgColor rgb="FFC6EFCE"/>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5" width="22.0"/>
    <col customWidth="1" min="6" max="6" width="14.0"/>
  </cols>
  <sheetData>
    <row r="1">
      <c r="A1" s="1"/>
      <c r="B1" s="1"/>
      <c r="C1" s="1"/>
      <c r="D1" s="1"/>
      <c r="E1" s="1"/>
      <c r="F1" s="1"/>
      <c r="G1" s="2"/>
      <c r="H1" s="2"/>
      <c r="I1" s="2"/>
      <c r="J1" s="2"/>
      <c r="K1" s="2"/>
      <c r="L1" s="2"/>
      <c r="M1" s="2"/>
      <c r="N1" s="2"/>
      <c r="O1" s="2"/>
      <c r="P1" s="2"/>
      <c r="Q1" s="2"/>
      <c r="R1" s="2"/>
      <c r="S1" s="2"/>
      <c r="T1" s="2"/>
      <c r="U1" s="2"/>
      <c r="V1" s="2"/>
      <c r="W1" s="2"/>
      <c r="X1" s="2"/>
      <c r="Y1" s="2"/>
      <c r="Z1" s="2"/>
    </row>
    <row r="2" ht="19.5" customHeight="1">
      <c r="A2" s="1"/>
      <c r="B2" s="3" t="s">
        <v>0</v>
      </c>
      <c r="C2" s="4"/>
      <c r="D2" s="4"/>
      <c r="E2" s="4"/>
      <c r="F2" s="5"/>
      <c r="G2" s="2"/>
      <c r="H2" s="2"/>
      <c r="I2" s="2"/>
      <c r="J2" s="2"/>
      <c r="K2" s="2"/>
      <c r="L2" s="2"/>
      <c r="M2" s="2"/>
      <c r="N2" s="2"/>
      <c r="O2" s="2"/>
      <c r="P2" s="2"/>
      <c r="Q2" s="2"/>
      <c r="R2" s="2"/>
      <c r="S2" s="2"/>
      <c r="T2" s="2"/>
      <c r="U2" s="2"/>
      <c r="V2" s="2"/>
      <c r="W2" s="2"/>
      <c r="X2" s="2"/>
      <c r="Y2" s="2"/>
      <c r="Z2" s="2"/>
    </row>
    <row r="3" ht="15.0" customHeight="1">
      <c r="A3" s="1"/>
      <c r="B3" s="6" t="s">
        <v>1</v>
      </c>
      <c r="G3" s="2"/>
      <c r="H3" s="2"/>
      <c r="I3" s="2"/>
      <c r="J3" s="2"/>
      <c r="K3" s="2"/>
      <c r="L3" s="2"/>
      <c r="M3" s="2"/>
      <c r="N3" s="2"/>
      <c r="O3" s="2"/>
      <c r="P3" s="2"/>
      <c r="Q3" s="2"/>
      <c r="R3" s="2"/>
      <c r="S3" s="2"/>
      <c r="T3" s="2"/>
      <c r="U3" s="2"/>
      <c r="V3" s="2"/>
      <c r="W3" s="2"/>
      <c r="X3" s="2"/>
      <c r="Y3" s="2"/>
      <c r="Z3" s="2"/>
    </row>
    <row r="4" ht="15.0" customHeight="1">
      <c r="A4" s="1"/>
      <c r="G4" s="2"/>
      <c r="H4" s="2"/>
      <c r="I4" s="2"/>
      <c r="J4" s="2"/>
      <c r="K4" s="2"/>
      <c r="L4" s="2"/>
      <c r="M4" s="2"/>
      <c r="N4" s="2"/>
      <c r="O4" s="2"/>
      <c r="P4" s="2"/>
      <c r="Q4" s="2"/>
      <c r="R4" s="2"/>
      <c r="S4" s="2"/>
      <c r="T4" s="2"/>
      <c r="U4" s="2"/>
      <c r="V4" s="2"/>
      <c r="W4" s="2"/>
      <c r="X4" s="2"/>
      <c r="Y4" s="2"/>
      <c r="Z4" s="2"/>
    </row>
    <row r="5" ht="15.0" customHeight="1">
      <c r="A5" s="1"/>
      <c r="G5" s="2"/>
      <c r="H5" s="2"/>
      <c r="I5" s="2"/>
      <c r="J5" s="2"/>
      <c r="K5" s="2"/>
      <c r="L5" s="2"/>
      <c r="M5" s="2"/>
      <c r="N5" s="2"/>
      <c r="O5" s="2"/>
      <c r="P5" s="2"/>
      <c r="Q5" s="2"/>
      <c r="R5" s="2"/>
      <c r="S5" s="2"/>
      <c r="T5" s="2"/>
      <c r="U5" s="2"/>
      <c r="V5" s="2"/>
      <c r="W5" s="2"/>
      <c r="X5" s="2"/>
      <c r="Y5" s="2"/>
      <c r="Z5" s="2"/>
    </row>
    <row r="6" ht="15.0" customHeight="1">
      <c r="A6" s="1"/>
      <c r="G6" s="2"/>
      <c r="H6" s="2"/>
      <c r="I6" s="2"/>
      <c r="J6" s="2"/>
      <c r="K6" s="2"/>
      <c r="L6" s="2"/>
      <c r="M6" s="2"/>
      <c r="N6" s="2"/>
      <c r="O6" s="2"/>
      <c r="P6" s="2"/>
      <c r="Q6" s="2"/>
      <c r="R6" s="2"/>
      <c r="S6" s="2"/>
      <c r="T6" s="2"/>
      <c r="U6" s="2"/>
      <c r="V6" s="2"/>
      <c r="W6" s="2"/>
      <c r="X6" s="2"/>
      <c r="Y6" s="2"/>
      <c r="Z6" s="2"/>
    </row>
    <row r="7" ht="15.0" customHeight="1">
      <c r="A7" s="1"/>
      <c r="B7" s="6" t="s">
        <v>2</v>
      </c>
      <c r="G7" s="2"/>
      <c r="H7" s="2"/>
      <c r="I7" s="2"/>
      <c r="J7" s="2"/>
      <c r="K7" s="2"/>
      <c r="L7" s="2"/>
      <c r="M7" s="2"/>
      <c r="N7" s="2"/>
      <c r="O7" s="2"/>
      <c r="P7" s="2"/>
      <c r="Q7" s="2"/>
      <c r="R7" s="2"/>
      <c r="S7" s="2"/>
      <c r="T7" s="2"/>
      <c r="U7" s="2"/>
      <c r="V7" s="2"/>
      <c r="W7" s="2"/>
      <c r="X7" s="2"/>
      <c r="Y7" s="2"/>
      <c r="Z7" s="2"/>
    </row>
    <row r="8" ht="15.0" customHeight="1">
      <c r="A8" s="1"/>
      <c r="G8" s="2"/>
      <c r="H8" s="2"/>
      <c r="I8" s="2"/>
      <c r="J8" s="2"/>
      <c r="K8" s="2"/>
      <c r="L8" s="2"/>
      <c r="M8" s="2"/>
      <c r="N8" s="2"/>
      <c r="O8" s="2"/>
      <c r="P8" s="2"/>
      <c r="Q8" s="2"/>
      <c r="R8" s="2"/>
      <c r="S8" s="2"/>
      <c r="T8" s="2"/>
      <c r="U8" s="2"/>
      <c r="V8" s="2"/>
      <c r="W8" s="2"/>
      <c r="X8" s="2"/>
      <c r="Y8" s="2"/>
      <c r="Z8" s="2"/>
    </row>
    <row r="9" ht="15.0" customHeight="1">
      <c r="A9" s="1"/>
      <c r="G9" s="2"/>
      <c r="H9" s="2"/>
      <c r="I9" s="2"/>
      <c r="J9" s="2"/>
      <c r="K9" s="2"/>
      <c r="L9" s="2"/>
      <c r="M9" s="2"/>
      <c r="N9" s="2"/>
      <c r="O9" s="2"/>
      <c r="P9" s="2"/>
      <c r="Q9" s="2"/>
      <c r="R9" s="2"/>
      <c r="S9" s="2"/>
      <c r="T9" s="2"/>
      <c r="U9" s="2"/>
      <c r="V9" s="2"/>
      <c r="W9" s="2"/>
      <c r="X9" s="2"/>
      <c r="Y9" s="2"/>
      <c r="Z9" s="2"/>
    </row>
    <row r="10">
      <c r="A10" s="1"/>
      <c r="B10" s="1"/>
      <c r="C10" s="1"/>
      <c r="D10" s="1"/>
      <c r="E10" s="1"/>
      <c r="F10" s="1"/>
      <c r="G10" s="2"/>
      <c r="H10" s="2"/>
      <c r="I10" s="2"/>
      <c r="J10" s="2"/>
      <c r="K10" s="2"/>
      <c r="L10" s="2"/>
      <c r="M10" s="2"/>
      <c r="N10" s="2"/>
      <c r="O10" s="2"/>
      <c r="P10" s="2"/>
      <c r="Q10" s="2"/>
      <c r="R10" s="2"/>
      <c r="S10" s="2"/>
      <c r="T10" s="2"/>
      <c r="U10" s="2"/>
      <c r="V10" s="2"/>
      <c r="W10" s="2"/>
      <c r="X10" s="2"/>
      <c r="Y10" s="2"/>
      <c r="Z10" s="2"/>
    </row>
    <row r="11" ht="19.5" customHeight="1">
      <c r="A11" s="1"/>
      <c r="B11" s="3" t="s">
        <v>3</v>
      </c>
      <c r="C11" s="4"/>
      <c r="D11" s="4"/>
      <c r="E11" s="4"/>
      <c r="F11" s="5"/>
      <c r="G11" s="2"/>
      <c r="H11" s="2"/>
      <c r="I11" s="2"/>
      <c r="J11" s="2"/>
      <c r="K11" s="2"/>
      <c r="L11" s="2"/>
      <c r="M11" s="2"/>
      <c r="N11" s="2"/>
      <c r="O11" s="2"/>
      <c r="P11" s="2"/>
      <c r="Q11" s="2"/>
      <c r="R11" s="2"/>
      <c r="S11" s="2"/>
      <c r="T11" s="2"/>
      <c r="U11" s="2"/>
      <c r="V11" s="2"/>
      <c r="W11" s="2"/>
      <c r="X11" s="2"/>
      <c r="Y11" s="2"/>
      <c r="Z11" s="2"/>
    </row>
    <row r="12" ht="15.0" customHeight="1">
      <c r="A12" s="1"/>
      <c r="B12" s="7" t="s">
        <v>4</v>
      </c>
      <c r="G12" s="2"/>
      <c r="H12" s="2"/>
      <c r="I12" s="2"/>
      <c r="J12" s="2"/>
      <c r="K12" s="2"/>
      <c r="L12" s="2"/>
      <c r="M12" s="2"/>
      <c r="N12" s="2"/>
      <c r="O12" s="2"/>
      <c r="P12" s="2"/>
      <c r="Q12" s="2"/>
      <c r="R12" s="2"/>
      <c r="S12" s="2"/>
      <c r="T12" s="2"/>
      <c r="U12" s="2"/>
      <c r="V12" s="2"/>
      <c r="W12" s="2"/>
      <c r="X12" s="2"/>
      <c r="Y12" s="2"/>
      <c r="Z12" s="2"/>
    </row>
    <row r="13" ht="15.0" customHeight="1">
      <c r="A13" s="1"/>
      <c r="B13" s="6" t="s">
        <v>5</v>
      </c>
      <c r="G13" s="2"/>
      <c r="H13" s="2"/>
      <c r="I13" s="2"/>
      <c r="J13" s="2"/>
      <c r="K13" s="2"/>
      <c r="L13" s="2"/>
      <c r="M13" s="2"/>
      <c r="N13" s="2"/>
      <c r="O13" s="2"/>
      <c r="P13" s="2"/>
      <c r="Q13" s="2"/>
      <c r="R13" s="2"/>
      <c r="S13" s="2"/>
      <c r="T13" s="2"/>
      <c r="U13" s="2"/>
      <c r="V13" s="2"/>
      <c r="W13" s="2"/>
      <c r="X13" s="2"/>
      <c r="Y13" s="2"/>
      <c r="Z13" s="2"/>
    </row>
    <row r="14" ht="15.0" customHeight="1">
      <c r="A14" s="1"/>
      <c r="G14" s="2"/>
      <c r="H14" s="2"/>
      <c r="I14" s="2"/>
      <c r="J14" s="2"/>
      <c r="K14" s="2"/>
      <c r="L14" s="2"/>
      <c r="M14" s="2"/>
      <c r="N14" s="2"/>
      <c r="O14" s="2"/>
      <c r="P14" s="2"/>
      <c r="Q14" s="2"/>
      <c r="R14" s="2"/>
      <c r="S14" s="2"/>
      <c r="T14" s="2"/>
      <c r="U14" s="2"/>
      <c r="V14" s="2"/>
      <c r="W14" s="2"/>
      <c r="X14" s="2"/>
      <c r="Y14" s="2"/>
      <c r="Z14" s="2"/>
    </row>
    <row r="15" ht="15.0" customHeight="1">
      <c r="A15" s="1"/>
      <c r="G15" s="2"/>
      <c r="H15" s="2"/>
      <c r="I15" s="2"/>
      <c r="J15" s="2"/>
      <c r="K15" s="2"/>
      <c r="L15" s="2"/>
      <c r="M15" s="2"/>
      <c r="N15" s="2"/>
      <c r="O15" s="2"/>
      <c r="P15" s="2"/>
      <c r="Q15" s="2"/>
      <c r="R15" s="2"/>
      <c r="S15" s="2"/>
      <c r="T15" s="2"/>
      <c r="U15" s="2"/>
      <c r="V15" s="2"/>
      <c r="W15" s="2"/>
      <c r="X15" s="2"/>
      <c r="Y15" s="2"/>
      <c r="Z15" s="2"/>
    </row>
    <row r="16" ht="15.0" customHeight="1">
      <c r="A16" s="1"/>
      <c r="B16" s="6"/>
      <c r="C16" s="6"/>
      <c r="D16" s="6"/>
      <c r="E16" s="6"/>
      <c r="F16" s="6"/>
      <c r="G16" s="2"/>
      <c r="H16" s="2"/>
      <c r="I16" s="2"/>
      <c r="J16" s="2"/>
      <c r="K16" s="2"/>
      <c r="L16" s="2"/>
      <c r="M16" s="2"/>
      <c r="N16" s="2"/>
      <c r="O16" s="2"/>
      <c r="P16" s="2"/>
      <c r="Q16" s="2"/>
      <c r="R16" s="2"/>
      <c r="S16" s="2"/>
      <c r="T16" s="2"/>
      <c r="U16" s="2"/>
      <c r="V16" s="2"/>
      <c r="W16" s="2"/>
      <c r="X16" s="2"/>
      <c r="Y16" s="2"/>
      <c r="Z16" s="2"/>
    </row>
    <row r="17" ht="15.0" customHeight="1">
      <c r="A17" s="1"/>
      <c r="B17" s="7" t="s">
        <v>6</v>
      </c>
      <c r="G17" s="2"/>
      <c r="H17" s="2"/>
      <c r="I17" s="2"/>
      <c r="J17" s="2"/>
      <c r="K17" s="2"/>
      <c r="L17" s="2"/>
      <c r="M17" s="2"/>
      <c r="N17" s="2"/>
      <c r="O17" s="2"/>
      <c r="P17" s="2"/>
      <c r="Q17" s="2"/>
      <c r="R17" s="2"/>
      <c r="S17" s="2"/>
      <c r="T17" s="2"/>
      <c r="U17" s="2"/>
      <c r="V17" s="2"/>
      <c r="W17" s="2"/>
      <c r="X17" s="2"/>
      <c r="Y17" s="2"/>
      <c r="Z17" s="2"/>
    </row>
    <row r="18" ht="15.0" customHeight="1">
      <c r="A18" s="1"/>
      <c r="B18" s="6" t="s">
        <v>7</v>
      </c>
      <c r="G18" s="2"/>
      <c r="H18" s="2"/>
      <c r="I18" s="2"/>
      <c r="J18" s="2"/>
      <c r="K18" s="2"/>
      <c r="L18" s="2"/>
      <c r="M18" s="2"/>
      <c r="N18" s="2"/>
      <c r="O18" s="2"/>
      <c r="P18" s="2"/>
      <c r="Q18" s="2"/>
      <c r="R18" s="2"/>
      <c r="S18" s="2"/>
      <c r="T18" s="2"/>
      <c r="U18" s="2"/>
      <c r="V18" s="2"/>
      <c r="W18" s="2"/>
      <c r="X18" s="2"/>
      <c r="Y18" s="2"/>
      <c r="Z18" s="2"/>
    </row>
    <row r="19" ht="15.0" customHeight="1">
      <c r="A19" s="1"/>
      <c r="G19" s="2"/>
      <c r="H19" s="2"/>
      <c r="I19" s="2"/>
      <c r="J19" s="2"/>
      <c r="K19" s="2"/>
      <c r="L19" s="2"/>
      <c r="M19" s="2"/>
      <c r="N19" s="2"/>
      <c r="O19" s="2"/>
      <c r="P19" s="2"/>
      <c r="Q19" s="2"/>
      <c r="R19" s="2"/>
      <c r="S19" s="2"/>
      <c r="T19" s="2"/>
      <c r="U19" s="2"/>
      <c r="V19" s="2"/>
      <c r="W19" s="2"/>
      <c r="X19" s="2"/>
      <c r="Y19" s="2"/>
      <c r="Z19" s="2"/>
    </row>
    <row r="20" ht="15.0" customHeight="1">
      <c r="A20" s="1"/>
      <c r="G20" s="2"/>
      <c r="H20" s="2"/>
      <c r="I20" s="2"/>
      <c r="J20" s="2"/>
      <c r="K20" s="2"/>
      <c r="L20" s="2"/>
      <c r="M20" s="2"/>
      <c r="N20" s="2"/>
      <c r="O20" s="2"/>
      <c r="P20" s="2"/>
      <c r="Q20" s="2"/>
      <c r="R20" s="2"/>
      <c r="S20" s="2"/>
      <c r="T20" s="2"/>
      <c r="U20" s="2"/>
      <c r="V20" s="2"/>
      <c r="W20" s="2"/>
      <c r="X20" s="2"/>
      <c r="Y20" s="2"/>
      <c r="Z20" s="2"/>
    </row>
    <row r="21" ht="15.0" customHeight="1">
      <c r="A21" s="1"/>
      <c r="B21" s="6"/>
      <c r="C21" s="6"/>
      <c r="D21" s="6"/>
      <c r="E21" s="6"/>
      <c r="F21" s="6"/>
      <c r="G21" s="2"/>
      <c r="H21" s="2"/>
      <c r="I21" s="2"/>
      <c r="J21" s="2"/>
      <c r="K21" s="2"/>
      <c r="L21" s="2"/>
      <c r="M21" s="2"/>
      <c r="N21" s="2"/>
      <c r="O21" s="2"/>
      <c r="P21" s="2"/>
      <c r="Q21" s="2"/>
      <c r="R21" s="2"/>
      <c r="S21" s="2"/>
      <c r="T21" s="2"/>
      <c r="U21" s="2"/>
      <c r="V21" s="2"/>
      <c r="W21" s="2"/>
      <c r="X21" s="2"/>
      <c r="Y21" s="2"/>
      <c r="Z21" s="2"/>
    </row>
    <row r="22" ht="15.0" customHeight="1">
      <c r="A22" s="1"/>
      <c r="B22" s="7" t="s">
        <v>8</v>
      </c>
      <c r="G22" s="2"/>
      <c r="H22" s="2"/>
      <c r="I22" s="2"/>
      <c r="J22" s="2"/>
      <c r="K22" s="2"/>
      <c r="L22" s="2"/>
      <c r="M22" s="2"/>
      <c r="N22" s="2"/>
      <c r="O22" s="2"/>
      <c r="P22" s="2"/>
      <c r="Q22" s="2"/>
      <c r="R22" s="2"/>
      <c r="S22" s="2"/>
      <c r="T22" s="2"/>
      <c r="U22" s="2"/>
      <c r="V22" s="2"/>
      <c r="W22" s="2"/>
      <c r="X22" s="2"/>
      <c r="Y22" s="2"/>
      <c r="Z22" s="2"/>
    </row>
    <row r="23" ht="15.0" customHeight="1">
      <c r="A23" s="1"/>
      <c r="B23" s="6" t="s">
        <v>9</v>
      </c>
      <c r="G23" s="2"/>
      <c r="H23" s="2"/>
      <c r="I23" s="2"/>
      <c r="J23" s="2"/>
      <c r="K23" s="2"/>
      <c r="L23" s="2"/>
      <c r="M23" s="2"/>
      <c r="N23" s="2"/>
      <c r="O23" s="2"/>
      <c r="P23" s="2"/>
      <c r="Q23" s="2"/>
      <c r="R23" s="2"/>
      <c r="S23" s="2"/>
      <c r="T23" s="2"/>
      <c r="U23" s="2"/>
      <c r="V23" s="2"/>
      <c r="W23" s="2"/>
      <c r="X23" s="2"/>
      <c r="Y23" s="2"/>
      <c r="Z23" s="2"/>
    </row>
    <row r="24" ht="15.0" customHeight="1">
      <c r="A24" s="1"/>
      <c r="G24" s="2"/>
      <c r="H24" s="2"/>
      <c r="I24" s="2"/>
      <c r="J24" s="2"/>
      <c r="K24" s="2"/>
      <c r="L24" s="2"/>
      <c r="M24" s="2"/>
      <c r="N24" s="2"/>
      <c r="O24" s="2"/>
      <c r="P24" s="2"/>
      <c r="Q24" s="2"/>
      <c r="R24" s="2"/>
      <c r="S24" s="2"/>
      <c r="T24" s="2"/>
      <c r="U24" s="2"/>
      <c r="V24" s="2"/>
      <c r="W24" s="2"/>
      <c r="X24" s="2"/>
      <c r="Y24" s="2"/>
      <c r="Z24" s="2"/>
    </row>
    <row r="25" ht="15.0" customHeight="1">
      <c r="A25" s="1"/>
      <c r="G25" s="2"/>
      <c r="H25" s="2"/>
      <c r="I25" s="2"/>
      <c r="J25" s="2"/>
      <c r="K25" s="2"/>
      <c r="L25" s="2"/>
      <c r="M25" s="2"/>
      <c r="N25" s="2"/>
      <c r="O25" s="2"/>
      <c r="P25" s="2"/>
      <c r="Q25" s="2"/>
      <c r="R25" s="2"/>
      <c r="S25" s="2"/>
      <c r="T25" s="2"/>
      <c r="U25" s="2"/>
      <c r="V25" s="2"/>
      <c r="W25" s="2"/>
      <c r="X25" s="2"/>
      <c r="Y25" s="2"/>
      <c r="Z25" s="2"/>
    </row>
    <row r="26" ht="15.75" customHeight="1">
      <c r="A26" s="1"/>
      <c r="B26" s="1"/>
      <c r="C26" s="1"/>
      <c r="D26" s="1"/>
      <c r="E26" s="1"/>
      <c r="F26" s="1"/>
      <c r="G26" s="2"/>
      <c r="H26" s="2"/>
      <c r="I26" s="2"/>
      <c r="J26" s="2"/>
      <c r="K26" s="2"/>
      <c r="L26" s="2"/>
      <c r="M26" s="2"/>
      <c r="N26" s="2"/>
      <c r="O26" s="2"/>
      <c r="P26" s="2"/>
      <c r="Q26" s="2"/>
      <c r="R26" s="2"/>
      <c r="S26" s="2"/>
      <c r="T26" s="2"/>
      <c r="U26" s="2"/>
      <c r="V26" s="2"/>
      <c r="W26" s="2"/>
      <c r="X26" s="2"/>
      <c r="Y26" s="2"/>
      <c r="Z26" s="2"/>
    </row>
    <row r="27" ht="19.5" customHeight="1">
      <c r="A27" s="1"/>
      <c r="B27" s="3" t="s">
        <v>10</v>
      </c>
      <c r="C27" s="4"/>
      <c r="D27" s="4"/>
      <c r="E27" s="4"/>
      <c r="F27" s="5"/>
      <c r="G27" s="2"/>
      <c r="H27" s="2"/>
      <c r="I27" s="2"/>
      <c r="J27" s="2"/>
      <c r="K27" s="2"/>
      <c r="L27" s="2"/>
      <c r="M27" s="2"/>
      <c r="N27" s="2"/>
      <c r="O27" s="2"/>
      <c r="P27" s="2"/>
      <c r="Q27" s="2"/>
      <c r="R27" s="2"/>
      <c r="S27" s="2"/>
      <c r="T27" s="2"/>
      <c r="U27" s="2"/>
      <c r="V27" s="2"/>
      <c r="W27" s="2"/>
      <c r="X27" s="2"/>
      <c r="Y27" s="2"/>
      <c r="Z27" s="2"/>
    </row>
    <row r="28" ht="15.0" customHeight="1">
      <c r="A28" s="1"/>
      <c r="B28" s="6" t="s">
        <v>11</v>
      </c>
      <c r="G28" s="2"/>
      <c r="H28" s="2"/>
      <c r="I28" s="2"/>
      <c r="J28" s="2"/>
      <c r="K28" s="2"/>
      <c r="L28" s="2"/>
      <c r="M28" s="2"/>
      <c r="N28" s="2"/>
      <c r="O28" s="2"/>
      <c r="P28" s="2"/>
      <c r="Q28" s="2"/>
      <c r="R28" s="2"/>
      <c r="S28" s="2"/>
      <c r="T28" s="2"/>
      <c r="U28" s="2"/>
      <c r="V28" s="2"/>
      <c r="W28" s="2"/>
      <c r="X28" s="2"/>
      <c r="Y28" s="2"/>
      <c r="Z28" s="2"/>
    </row>
    <row r="29" ht="15.0" customHeight="1">
      <c r="A29" s="1"/>
      <c r="G29" s="2"/>
      <c r="H29" s="2"/>
      <c r="I29" s="2"/>
      <c r="J29" s="2"/>
      <c r="K29" s="2"/>
      <c r="L29" s="2"/>
      <c r="M29" s="2"/>
      <c r="N29" s="2"/>
      <c r="O29" s="2"/>
      <c r="P29" s="2"/>
      <c r="Q29" s="2"/>
      <c r="R29" s="2"/>
      <c r="S29" s="2"/>
      <c r="T29" s="2"/>
      <c r="U29" s="2"/>
      <c r="V29" s="2"/>
      <c r="W29" s="2"/>
      <c r="X29" s="2"/>
      <c r="Y29" s="2"/>
      <c r="Z29" s="2"/>
    </row>
    <row r="30" ht="15.0" customHeight="1">
      <c r="A30" s="1"/>
      <c r="G30" s="2"/>
      <c r="H30" s="2"/>
      <c r="I30" s="2"/>
      <c r="J30" s="2"/>
      <c r="K30" s="2"/>
      <c r="L30" s="2"/>
      <c r="M30" s="2"/>
      <c r="N30" s="2"/>
      <c r="O30" s="2"/>
      <c r="P30" s="2"/>
      <c r="Q30" s="2"/>
      <c r="R30" s="2"/>
      <c r="S30" s="2"/>
      <c r="T30" s="2"/>
      <c r="U30" s="2"/>
      <c r="V30" s="2"/>
      <c r="W30" s="2"/>
      <c r="X30" s="2"/>
      <c r="Y30" s="2"/>
      <c r="Z30" s="2"/>
    </row>
    <row r="31" ht="15.0" customHeight="1">
      <c r="A31" s="1"/>
      <c r="B31" s="6"/>
      <c r="C31" s="6"/>
      <c r="D31" s="6"/>
      <c r="E31" s="6"/>
      <c r="F31" s="6"/>
      <c r="G31" s="2"/>
      <c r="H31" s="2"/>
      <c r="I31" s="2"/>
      <c r="J31" s="2"/>
      <c r="K31" s="2"/>
      <c r="L31" s="2"/>
      <c r="M31" s="2"/>
      <c r="N31" s="2"/>
      <c r="O31" s="2"/>
      <c r="P31" s="2"/>
      <c r="Q31" s="2"/>
      <c r="R31" s="2"/>
      <c r="S31" s="2"/>
      <c r="T31" s="2"/>
      <c r="U31" s="2"/>
      <c r="V31" s="2"/>
      <c r="W31" s="2"/>
      <c r="X31" s="2"/>
      <c r="Y31" s="2"/>
      <c r="Z31" s="2"/>
    </row>
    <row r="32" ht="15.0" customHeight="1">
      <c r="A32" s="1"/>
      <c r="B32" s="8" t="s">
        <v>12</v>
      </c>
      <c r="G32" s="2"/>
      <c r="H32" s="2"/>
      <c r="I32" s="2"/>
      <c r="J32" s="2"/>
      <c r="K32" s="2"/>
      <c r="L32" s="2"/>
      <c r="M32" s="2"/>
      <c r="N32" s="2"/>
      <c r="O32" s="2"/>
      <c r="P32" s="2"/>
      <c r="Q32" s="2"/>
      <c r="R32" s="2"/>
      <c r="S32" s="2"/>
      <c r="T32" s="2"/>
      <c r="U32" s="2"/>
      <c r="V32" s="2"/>
      <c r="W32" s="2"/>
      <c r="X32" s="2"/>
      <c r="Y32" s="2"/>
      <c r="Z32" s="2"/>
    </row>
    <row r="33" ht="15.0" customHeight="1">
      <c r="A33" s="1"/>
      <c r="G33" s="2"/>
      <c r="H33" s="2"/>
      <c r="I33" s="2"/>
      <c r="J33" s="2"/>
      <c r="K33" s="2"/>
      <c r="L33" s="2"/>
      <c r="M33" s="2"/>
      <c r="N33" s="2"/>
      <c r="O33" s="2"/>
      <c r="P33" s="2"/>
      <c r="Q33" s="2"/>
      <c r="R33" s="2"/>
      <c r="S33" s="2"/>
      <c r="T33" s="2"/>
      <c r="U33" s="2"/>
      <c r="V33" s="2"/>
      <c r="W33" s="2"/>
      <c r="X33" s="2"/>
      <c r="Y33" s="2"/>
      <c r="Z33" s="2"/>
    </row>
    <row r="34" ht="15.75" customHeight="1">
      <c r="A34" s="1"/>
      <c r="B34" s="1"/>
      <c r="C34" s="1"/>
      <c r="D34" s="1"/>
      <c r="E34" s="1"/>
      <c r="F34" s="1"/>
      <c r="G34" s="2"/>
      <c r="H34" s="2"/>
      <c r="I34" s="2"/>
      <c r="J34" s="2"/>
      <c r="K34" s="2"/>
      <c r="L34" s="2"/>
      <c r="M34" s="2"/>
      <c r="N34" s="2"/>
      <c r="O34" s="2"/>
      <c r="P34" s="2"/>
      <c r="Q34" s="2"/>
      <c r="R34" s="2"/>
      <c r="S34" s="2"/>
      <c r="T34" s="2"/>
      <c r="U34" s="2"/>
      <c r="V34" s="2"/>
      <c r="W34" s="2"/>
      <c r="X34" s="2"/>
      <c r="Y34" s="2"/>
      <c r="Z34" s="2"/>
    </row>
    <row r="35" ht="15.75" customHeight="1">
      <c r="A35" s="1"/>
      <c r="B35" s="1"/>
      <c r="C35" s="1"/>
      <c r="D35" s="1"/>
      <c r="E35" s="1"/>
      <c r="F35" s="1"/>
      <c r="G35" s="2"/>
      <c r="H35" s="2"/>
      <c r="I35" s="2"/>
      <c r="J35" s="2"/>
      <c r="K35" s="2"/>
      <c r="L35" s="2"/>
      <c r="M35" s="2"/>
      <c r="N35" s="2"/>
      <c r="O35" s="2"/>
      <c r="P35" s="2"/>
      <c r="Q35" s="2"/>
      <c r="R35" s="2"/>
      <c r="S35" s="2"/>
      <c r="T35" s="2"/>
      <c r="U35" s="2"/>
      <c r="V35" s="2"/>
      <c r="W35" s="2"/>
      <c r="X35" s="2"/>
      <c r="Y35" s="2"/>
      <c r="Z35" s="2"/>
    </row>
    <row r="36" ht="15.75" customHeight="1">
      <c r="A36" s="1"/>
      <c r="B36" s="1"/>
      <c r="C36" s="1"/>
      <c r="D36" s="1"/>
      <c r="E36" s="1"/>
      <c r="F36" s="1"/>
      <c r="G36" s="2"/>
      <c r="H36" s="2"/>
      <c r="I36" s="2"/>
      <c r="J36" s="2"/>
      <c r="K36" s="2"/>
      <c r="L36" s="2"/>
      <c r="M36" s="2"/>
      <c r="N36" s="2"/>
      <c r="O36" s="2"/>
      <c r="P36" s="2"/>
      <c r="Q36" s="2"/>
      <c r="R36" s="2"/>
      <c r="S36" s="2"/>
      <c r="T36" s="2"/>
      <c r="U36" s="2"/>
      <c r="V36" s="2"/>
      <c r="W36" s="2"/>
      <c r="X36" s="2"/>
      <c r="Y36" s="2"/>
      <c r="Z36" s="2"/>
    </row>
    <row r="37" ht="15.75" customHeight="1">
      <c r="A37" s="1"/>
      <c r="B37" s="1"/>
      <c r="C37" s="1"/>
      <c r="D37" s="1"/>
      <c r="E37" s="1"/>
      <c r="F37" s="1"/>
      <c r="G37" s="2"/>
      <c r="H37" s="2"/>
      <c r="I37" s="2"/>
      <c r="J37" s="2"/>
      <c r="K37" s="2"/>
      <c r="L37" s="2"/>
      <c r="M37" s="2"/>
      <c r="N37" s="2"/>
      <c r="O37" s="2"/>
      <c r="P37" s="2"/>
      <c r="Q37" s="2"/>
      <c r="R37" s="2"/>
      <c r="S37" s="2"/>
      <c r="T37" s="2"/>
      <c r="U37" s="2"/>
      <c r="V37" s="2"/>
      <c r="W37" s="2"/>
      <c r="X37" s="2"/>
      <c r="Y37" s="2"/>
      <c r="Z37" s="2"/>
    </row>
    <row r="38" ht="15.75" customHeight="1">
      <c r="A38" s="1"/>
      <c r="B38" s="1"/>
      <c r="C38" s="1"/>
      <c r="D38" s="1"/>
      <c r="E38" s="1"/>
      <c r="F38" s="1"/>
      <c r="G38" s="2"/>
      <c r="H38" s="2"/>
      <c r="I38" s="2"/>
      <c r="J38" s="2"/>
      <c r="K38" s="2"/>
      <c r="L38" s="2"/>
      <c r="M38" s="2"/>
      <c r="N38" s="2"/>
      <c r="O38" s="2"/>
      <c r="P38" s="2"/>
      <c r="Q38" s="2"/>
      <c r="R38" s="2"/>
      <c r="S38" s="2"/>
      <c r="T38" s="2"/>
      <c r="U38" s="2"/>
      <c r="V38" s="2"/>
      <c r="W38" s="2"/>
      <c r="X38" s="2"/>
      <c r="Y38" s="2"/>
      <c r="Z38" s="2"/>
    </row>
    <row r="39" ht="15.75" customHeight="1">
      <c r="A39" s="1"/>
      <c r="B39" s="1"/>
      <c r="C39" s="1"/>
      <c r="D39" s="1"/>
      <c r="E39" s="1"/>
      <c r="F39" s="1"/>
      <c r="G39" s="2"/>
      <c r="H39" s="2"/>
      <c r="I39" s="2"/>
      <c r="J39" s="2"/>
      <c r="K39" s="2"/>
      <c r="L39" s="2"/>
      <c r="M39" s="2"/>
      <c r="N39" s="2"/>
      <c r="O39" s="2"/>
      <c r="P39" s="2"/>
      <c r="Q39" s="2"/>
      <c r="R39" s="2"/>
      <c r="S39" s="2"/>
      <c r="T39" s="2"/>
      <c r="U39" s="2"/>
      <c r="V39" s="2"/>
      <c r="W39" s="2"/>
      <c r="X39" s="2"/>
      <c r="Y39" s="2"/>
      <c r="Z39" s="2"/>
    </row>
    <row r="40" ht="15.75" customHeight="1">
      <c r="A40" s="1"/>
      <c r="B40" s="1"/>
      <c r="C40" s="1"/>
      <c r="D40" s="1"/>
      <c r="E40" s="1"/>
      <c r="F40" s="1"/>
      <c r="G40" s="2"/>
      <c r="H40" s="2"/>
      <c r="I40" s="2"/>
      <c r="J40" s="2"/>
      <c r="K40" s="2"/>
      <c r="L40" s="2"/>
      <c r="M40" s="2"/>
      <c r="N40" s="2"/>
      <c r="O40" s="2"/>
      <c r="P40" s="2"/>
      <c r="Q40" s="2"/>
      <c r="R40" s="2"/>
      <c r="S40" s="2"/>
      <c r="T40" s="2"/>
      <c r="U40" s="2"/>
      <c r="V40" s="2"/>
      <c r="W40" s="2"/>
      <c r="X40" s="2"/>
      <c r="Y40" s="2"/>
      <c r="Z40" s="2"/>
    </row>
    <row r="41" ht="15.75" customHeight="1">
      <c r="A41" s="1"/>
      <c r="B41" s="1"/>
      <c r="C41" s="1"/>
      <c r="D41" s="1"/>
      <c r="E41" s="1"/>
      <c r="F41" s="1"/>
      <c r="G41" s="2"/>
      <c r="H41" s="2"/>
      <c r="I41" s="2"/>
      <c r="J41" s="2"/>
      <c r="K41" s="2"/>
      <c r="L41" s="2"/>
      <c r="M41" s="2"/>
      <c r="N41" s="2"/>
      <c r="O41" s="2"/>
      <c r="P41" s="2"/>
      <c r="Q41" s="2"/>
      <c r="R41" s="2"/>
      <c r="S41" s="2"/>
      <c r="T41" s="2"/>
      <c r="U41" s="2"/>
      <c r="V41" s="2"/>
      <c r="W41" s="2"/>
      <c r="X41" s="2"/>
      <c r="Y41" s="2"/>
      <c r="Z41" s="2"/>
    </row>
    <row r="42" ht="15.75" customHeight="1">
      <c r="A42" s="1"/>
      <c r="B42" s="1"/>
      <c r="C42" s="1"/>
      <c r="D42" s="1"/>
      <c r="E42" s="1"/>
      <c r="F42" s="1"/>
      <c r="G42" s="2"/>
      <c r="H42" s="2"/>
      <c r="I42" s="2"/>
      <c r="J42" s="2"/>
      <c r="K42" s="2"/>
      <c r="L42" s="2"/>
      <c r="M42" s="2"/>
      <c r="N42" s="2"/>
      <c r="O42" s="2"/>
      <c r="P42" s="2"/>
      <c r="Q42" s="2"/>
      <c r="R42" s="2"/>
      <c r="S42" s="2"/>
      <c r="T42" s="2"/>
      <c r="U42" s="2"/>
      <c r="V42" s="2"/>
      <c r="W42" s="2"/>
      <c r="X42" s="2"/>
      <c r="Y42" s="2"/>
      <c r="Z42" s="2"/>
    </row>
    <row r="43" ht="15.75" customHeight="1">
      <c r="A43" s="1"/>
      <c r="B43" s="1"/>
      <c r="C43" s="1"/>
      <c r="D43" s="1"/>
      <c r="E43" s="1"/>
      <c r="F43" s="1"/>
      <c r="G43" s="2"/>
      <c r="H43" s="2"/>
      <c r="I43" s="2"/>
      <c r="J43" s="2"/>
      <c r="K43" s="2"/>
      <c r="L43" s="2"/>
      <c r="M43" s="2"/>
      <c r="N43" s="2"/>
      <c r="O43" s="2"/>
      <c r="P43" s="2"/>
      <c r="Q43" s="2"/>
      <c r="R43" s="2"/>
      <c r="S43" s="2"/>
      <c r="T43" s="2"/>
      <c r="U43" s="2"/>
      <c r="V43" s="2"/>
      <c r="W43" s="2"/>
      <c r="X43" s="2"/>
      <c r="Y43" s="2"/>
      <c r="Z43" s="2"/>
    </row>
    <row r="44" ht="15.75" customHeight="1">
      <c r="A44" s="1"/>
      <c r="B44" s="1"/>
      <c r="C44" s="1"/>
      <c r="D44" s="1"/>
      <c r="E44" s="1"/>
      <c r="F44" s="1"/>
      <c r="G44" s="2"/>
      <c r="H44" s="2"/>
      <c r="I44" s="2"/>
      <c r="J44" s="2"/>
      <c r="K44" s="2"/>
      <c r="L44" s="2"/>
      <c r="M44" s="2"/>
      <c r="N44" s="2"/>
      <c r="O44" s="2"/>
      <c r="P44" s="2"/>
      <c r="Q44" s="2"/>
      <c r="R44" s="2"/>
      <c r="S44" s="2"/>
      <c r="T44" s="2"/>
      <c r="U44" s="2"/>
      <c r="V44" s="2"/>
      <c r="W44" s="2"/>
      <c r="X44" s="2"/>
      <c r="Y44" s="2"/>
      <c r="Z44" s="2"/>
    </row>
    <row r="45" ht="15.75" customHeight="1">
      <c r="A45" s="1"/>
      <c r="B45" s="1"/>
      <c r="C45" s="1"/>
      <c r="D45" s="1"/>
      <c r="E45" s="1"/>
      <c r="F45" s="1"/>
      <c r="G45" s="2"/>
      <c r="H45" s="2"/>
      <c r="I45" s="2"/>
      <c r="J45" s="2"/>
      <c r="K45" s="2"/>
      <c r="L45" s="2"/>
      <c r="M45" s="2"/>
      <c r="N45" s="2"/>
      <c r="O45" s="2"/>
      <c r="P45" s="2"/>
      <c r="Q45" s="2"/>
      <c r="R45" s="2"/>
      <c r="S45" s="2"/>
      <c r="T45" s="2"/>
      <c r="U45" s="2"/>
      <c r="V45" s="2"/>
      <c r="W45" s="2"/>
      <c r="X45" s="2"/>
      <c r="Y45" s="2"/>
      <c r="Z45" s="2"/>
    </row>
    <row r="46" ht="15.75" customHeight="1">
      <c r="A46" s="1"/>
      <c r="B46" s="1"/>
      <c r="C46" s="1"/>
      <c r="D46" s="1"/>
      <c r="E46" s="1"/>
      <c r="F46" s="1"/>
      <c r="G46" s="2"/>
      <c r="H46" s="2"/>
      <c r="I46" s="2"/>
      <c r="J46" s="2"/>
      <c r="K46" s="2"/>
      <c r="L46" s="2"/>
      <c r="M46" s="2"/>
      <c r="N46" s="2"/>
      <c r="O46" s="2"/>
      <c r="P46" s="2"/>
      <c r="Q46" s="2"/>
      <c r="R46" s="2"/>
      <c r="S46" s="2"/>
      <c r="T46" s="2"/>
      <c r="U46" s="2"/>
      <c r="V46" s="2"/>
      <c r="W46" s="2"/>
      <c r="X46" s="2"/>
      <c r="Y46" s="2"/>
      <c r="Z46" s="2"/>
    </row>
    <row r="47" ht="15.75" customHeight="1">
      <c r="A47" s="1"/>
      <c r="B47" s="1"/>
      <c r="C47" s="1"/>
      <c r="D47" s="1"/>
      <c r="E47" s="1"/>
      <c r="F47" s="1"/>
      <c r="G47" s="2"/>
      <c r="H47" s="2"/>
      <c r="I47" s="2"/>
      <c r="J47" s="2"/>
      <c r="K47" s="2"/>
      <c r="L47" s="2"/>
      <c r="M47" s="2"/>
      <c r="N47" s="2"/>
      <c r="O47" s="2"/>
      <c r="P47" s="2"/>
      <c r="Q47" s="2"/>
      <c r="R47" s="2"/>
      <c r="S47" s="2"/>
      <c r="T47" s="2"/>
      <c r="U47" s="2"/>
      <c r="V47" s="2"/>
      <c r="W47" s="2"/>
      <c r="X47" s="2"/>
      <c r="Y47" s="2"/>
      <c r="Z47" s="2"/>
    </row>
    <row r="48" ht="15.75" customHeight="1">
      <c r="A48" s="1"/>
      <c r="B48" s="1"/>
      <c r="C48" s="1"/>
      <c r="D48" s="1"/>
      <c r="E48" s="1"/>
      <c r="F48" s="1"/>
      <c r="G48" s="2"/>
      <c r="H48" s="2"/>
      <c r="I48" s="2"/>
      <c r="J48" s="2"/>
      <c r="K48" s="2"/>
      <c r="L48" s="2"/>
      <c r="M48" s="2"/>
      <c r="N48" s="2"/>
      <c r="O48" s="2"/>
      <c r="P48" s="2"/>
      <c r="Q48" s="2"/>
      <c r="R48" s="2"/>
      <c r="S48" s="2"/>
      <c r="T48" s="2"/>
      <c r="U48" s="2"/>
      <c r="V48" s="2"/>
      <c r="W48" s="2"/>
      <c r="X48" s="2"/>
      <c r="Y48" s="2"/>
      <c r="Z48" s="2"/>
    </row>
    <row r="49" ht="15.75" customHeight="1">
      <c r="A49" s="1"/>
      <c r="B49" s="1"/>
      <c r="C49" s="1"/>
      <c r="D49" s="1"/>
      <c r="E49" s="1"/>
      <c r="F49" s="1"/>
      <c r="G49" s="2"/>
      <c r="H49" s="2"/>
      <c r="I49" s="2"/>
      <c r="J49" s="2"/>
      <c r="K49" s="2"/>
      <c r="L49" s="2"/>
      <c r="M49" s="2"/>
      <c r="N49" s="2"/>
      <c r="O49" s="2"/>
      <c r="P49" s="2"/>
      <c r="Q49" s="2"/>
      <c r="R49" s="2"/>
      <c r="S49" s="2"/>
      <c r="T49" s="2"/>
      <c r="U49" s="2"/>
      <c r="V49" s="2"/>
      <c r="W49" s="2"/>
      <c r="X49" s="2"/>
      <c r="Y49" s="2"/>
      <c r="Z49" s="2"/>
    </row>
    <row r="50" ht="15.75" customHeight="1">
      <c r="A50" s="1"/>
      <c r="B50" s="1"/>
      <c r="C50" s="1"/>
      <c r="D50" s="1"/>
      <c r="E50" s="1"/>
      <c r="F50" s="1"/>
      <c r="G50" s="2"/>
      <c r="H50" s="2"/>
      <c r="I50" s="2"/>
      <c r="J50" s="2"/>
      <c r="K50" s="2"/>
      <c r="L50" s="2"/>
      <c r="M50" s="2"/>
      <c r="N50" s="2"/>
      <c r="O50" s="2"/>
      <c r="P50" s="2"/>
      <c r="Q50" s="2"/>
      <c r="R50" s="2"/>
      <c r="S50" s="2"/>
      <c r="T50" s="2"/>
      <c r="U50" s="2"/>
      <c r="V50" s="2"/>
      <c r="W50" s="2"/>
      <c r="X50" s="2"/>
      <c r="Y50" s="2"/>
      <c r="Z50" s="2"/>
    </row>
    <row r="51" ht="15.75" customHeight="1">
      <c r="A51" s="1"/>
      <c r="B51" s="1"/>
      <c r="C51" s="1"/>
      <c r="D51" s="1"/>
      <c r="E51" s="1"/>
      <c r="F51" s="1"/>
      <c r="G51" s="2"/>
      <c r="H51" s="2"/>
      <c r="I51" s="2"/>
      <c r="J51" s="2"/>
      <c r="K51" s="2"/>
      <c r="L51" s="2"/>
      <c r="M51" s="2"/>
      <c r="N51" s="2"/>
      <c r="O51" s="2"/>
      <c r="P51" s="2"/>
      <c r="Q51" s="2"/>
      <c r="R51" s="2"/>
      <c r="S51" s="2"/>
      <c r="T51" s="2"/>
      <c r="U51" s="2"/>
      <c r="V51" s="2"/>
      <c r="W51" s="2"/>
      <c r="X51" s="2"/>
      <c r="Y51" s="2"/>
      <c r="Z51" s="2"/>
    </row>
    <row r="52" ht="15.75" customHeight="1">
      <c r="A52" s="1"/>
      <c r="B52" s="1"/>
      <c r="C52" s="1"/>
      <c r="D52" s="1"/>
      <c r="E52" s="1"/>
      <c r="F52" s="1"/>
      <c r="G52" s="2"/>
      <c r="H52" s="2"/>
      <c r="I52" s="2"/>
      <c r="J52" s="2"/>
      <c r="K52" s="2"/>
      <c r="L52" s="2"/>
      <c r="M52" s="2"/>
      <c r="N52" s="2"/>
      <c r="O52" s="2"/>
      <c r="P52" s="2"/>
      <c r="Q52" s="2"/>
      <c r="R52" s="2"/>
      <c r="S52" s="2"/>
      <c r="T52" s="2"/>
      <c r="U52" s="2"/>
      <c r="V52" s="2"/>
      <c r="W52" s="2"/>
      <c r="X52" s="2"/>
      <c r="Y52" s="2"/>
      <c r="Z52" s="2"/>
    </row>
    <row r="53" ht="15.75" customHeight="1">
      <c r="A53" s="1"/>
      <c r="B53" s="1"/>
      <c r="C53" s="1"/>
      <c r="D53" s="1"/>
      <c r="E53" s="1"/>
      <c r="F53" s="1"/>
      <c r="G53" s="2"/>
      <c r="H53" s="2"/>
      <c r="I53" s="2"/>
      <c r="J53" s="2"/>
      <c r="K53" s="2"/>
      <c r="L53" s="2"/>
      <c r="M53" s="2"/>
      <c r="N53" s="2"/>
      <c r="O53" s="2"/>
      <c r="P53" s="2"/>
      <c r="Q53" s="2"/>
      <c r="R53" s="2"/>
      <c r="S53" s="2"/>
      <c r="T53" s="2"/>
      <c r="U53" s="2"/>
      <c r="V53" s="2"/>
      <c r="W53" s="2"/>
      <c r="X53" s="2"/>
      <c r="Y53" s="2"/>
      <c r="Z53" s="2"/>
    </row>
    <row r="54" ht="15.75" customHeight="1">
      <c r="A54" s="1"/>
      <c r="B54" s="1"/>
      <c r="C54" s="1"/>
      <c r="D54" s="1"/>
      <c r="E54" s="1"/>
      <c r="F54" s="1"/>
      <c r="G54" s="2"/>
      <c r="H54" s="2"/>
      <c r="I54" s="2"/>
      <c r="J54" s="2"/>
      <c r="K54" s="2"/>
      <c r="L54" s="2"/>
      <c r="M54" s="2"/>
      <c r="N54" s="2"/>
      <c r="O54" s="2"/>
      <c r="P54" s="2"/>
      <c r="Q54" s="2"/>
      <c r="R54" s="2"/>
      <c r="S54" s="2"/>
      <c r="T54" s="2"/>
      <c r="U54" s="2"/>
      <c r="V54" s="2"/>
      <c r="W54" s="2"/>
      <c r="X54" s="2"/>
      <c r="Y54" s="2"/>
      <c r="Z54" s="2"/>
    </row>
    <row r="55" ht="15.75" customHeight="1">
      <c r="A55" s="1"/>
      <c r="B55" s="1"/>
      <c r="C55" s="1"/>
      <c r="D55" s="1"/>
      <c r="E55" s="1"/>
      <c r="F55" s="1"/>
      <c r="G55" s="2"/>
      <c r="H55" s="2"/>
      <c r="I55" s="2"/>
      <c r="J55" s="2"/>
      <c r="K55" s="2"/>
      <c r="L55" s="2"/>
      <c r="M55" s="2"/>
      <c r="N55" s="2"/>
      <c r="O55" s="2"/>
      <c r="P55" s="2"/>
      <c r="Q55" s="2"/>
      <c r="R55" s="2"/>
      <c r="S55" s="2"/>
      <c r="T55" s="2"/>
      <c r="U55" s="2"/>
      <c r="V55" s="2"/>
      <c r="W55" s="2"/>
      <c r="X55" s="2"/>
      <c r="Y55" s="2"/>
      <c r="Z55" s="2"/>
    </row>
    <row r="56" ht="15.75" customHeight="1">
      <c r="A56" s="1"/>
      <c r="B56" s="1"/>
      <c r="C56" s="1"/>
      <c r="D56" s="1"/>
      <c r="E56" s="1"/>
      <c r="F56" s="1"/>
      <c r="G56" s="2"/>
      <c r="H56" s="2"/>
      <c r="I56" s="2"/>
      <c r="J56" s="2"/>
      <c r="K56" s="2"/>
      <c r="L56" s="2"/>
      <c r="M56" s="2"/>
      <c r="N56" s="2"/>
      <c r="O56" s="2"/>
      <c r="P56" s="2"/>
      <c r="Q56" s="2"/>
      <c r="R56" s="2"/>
      <c r="S56" s="2"/>
      <c r="T56" s="2"/>
      <c r="U56" s="2"/>
      <c r="V56" s="2"/>
      <c r="W56" s="2"/>
      <c r="X56" s="2"/>
      <c r="Y56" s="2"/>
      <c r="Z56" s="2"/>
    </row>
    <row r="57" ht="15.75" customHeight="1">
      <c r="A57" s="1"/>
      <c r="B57" s="1"/>
      <c r="C57" s="1"/>
      <c r="D57" s="1"/>
      <c r="E57" s="1"/>
      <c r="F57" s="1"/>
      <c r="G57" s="2"/>
      <c r="H57" s="2"/>
      <c r="I57" s="2"/>
      <c r="J57" s="2"/>
      <c r="K57" s="2"/>
      <c r="L57" s="2"/>
      <c r="M57" s="2"/>
      <c r="N57" s="2"/>
      <c r="O57" s="2"/>
      <c r="P57" s="2"/>
      <c r="Q57" s="2"/>
      <c r="R57" s="2"/>
      <c r="S57" s="2"/>
      <c r="T57" s="2"/>
      <c r="U57" s="2"/>
      <c r="V57" s="2"/>
      <c r="W57" s="2"/>
      <c r="X57" s="2"/>
      <c r="Y57" s="2"/>
      <c r="Z57" s="2"/>
    </row>
    <row r="58" ht="15.75" customHeight="1">
      <c r="A58" s="1"/>
      <c r="B58" s="1"/>
      <c r="C58" s="1"/>
      <c r="D58" s="1"/>
      <c r="E58" s="1"/>
      <c r="F58" s="1"/>
      <c r="G58" s="2"/>
      <c r="H58" s="2"/>
      <c r="I58" s="2"/>
      <c r="J58" s="2"/>
      <c r="K58" s="2"/>
      <c r="L58" s="2"/>
      <c r="M58" s="2"/>
      <c r="N58" s="2"/>
      <c r="O58" s="2"/>
      <c r="P58" s="2"/>
      <c r="Q58" s="2"/>
      <c r="R58" s="2"/>
      <c r="S58" s="2"/>
      <c r="T58" s="2"/>
      <c r="U58" s="2"/>
      <c r="V58" s="2"/>
      <c r="W58" s="2"/>
      <c r="X58" s="2"/>
      <c r="Y58" s="2"/>
      <c r="Z58" s="2"/>
    </row>
    <row r="59" ht="15.75" customHeight="1">
      <c r="A59" s="1"/>
      <c r="B59" s="1"/>
      <c r="C59" s="1"/>
      <c r="D59" s="1"/>
      <c r="E59" s="1"/>
      <c r="F59" s="1"/>
      <c r="G59" s="2"/>
      <c r="H59" s="2"/>
      <c r="I59" s="2"/>
      <c r="J59" s="2"/>
      <c r="K59" s="2"/>
      <c r="L59" s="2"/>
      <c r="M59" s="2"/>
      <c r="N59" s="2"/>
      <c r="O59" s="2"/>
      <c r="P59" s="2"/>
      <c r="Q59" s="2"/>
      <c r="R59" s="2"/>
      <c r="S59" s="2"/>
      <c r="T59" s="2"/>
      <c r="U59" s="2"/>
      <c r="V59" s="2"/>
      <c r="W59" s="2"/>
      <c r="X59" s="2"/>
      <c r="Y59" s="2"/>
      <c r="Z59" s="2"/>
    </row>
    <row r="60" ht="15.75" customHeight="1">
      <c r="A60" s="1"/>
      <c r="B60" s="1"/>
      <c r="C60" s="1"/>
      <c r="D60" s="1"/>
      <c r="E60" s="1"/>
      <c r="F60" s="1"/>
      <c r="G60" s="2"/>
      <c r="H60" s="2"/>
      <c r="I60" s="2"/>
      <c r="J60" s="2"/>
      <c r="K60" s="2"/>
      <c r="L60" s="2"/>
      <c r="M60" s="2"/>
      <c r="N60" s="2"/>
      <c r="O60" s="2"/>
      <c r="P60" s="2"/>
      <c r="Q60" s="2"/>
      <c r="R60" s="2"/>
      <c r="S60" s="2"/>
      <c r="T60" s="2"/>
      <c r="U60" s="2"/>
      <c r="V60" s="2"/>
      <c r="W60" s="2"/>
      <c r="X60" s="2"/>
      <c r="Y60" s="2"/>
      <c r="Z60" s="2"/>
    </row>
    <row r="61" ht="15.75" customHeight="1">
      <c r="A61" s="1"/>
      <c r="B61" s="1"/>
      <c r="C61" s="1"/>
      <c r="D61" s="1"/>
      <c r="E61" s="1"/>
      <c r="F61" s="1"/>
      <c r="G61" s="2"/>
      <c r="H61" s="2"/>
      <c r="I61" s="2"/>
      <c r="J61" s="2"/>
      <c r="K61" s="2"/>
      <c r="L61" s="2"/>
      <c r="M61" s="2"/>
      <c r="N61" s="2"/>
      <c r="O61" s="2"/>
      <c r="P61" s="2"/>
      <c r="Q61" s="2"/>
      <c r="R61" s="2"/>
      <c r="S61" s="2"/>
      <c r="T61" s="2"/>
      <c r="U61" s="2"/>
      <c r="V61" s="2"/>
      <c r="W61" s="2"/>
      <c r="X61" s="2"/>
      <c r="Y61" s="2"/>
      <c r="Z61" s="2"/>
    </row>
    <row r="62" ht="15.75" customHeight="1">
      <c r="A62" s="1"/>
      <c r="B62" s="1"/>
      <c r="C62" s="1"/>
      <c r="D62" s="1"/>
      <c r="E62" s="1"/>
      <c r="F62" s="1"/>
      <c r="G62" s="2"/>
      <c r="H62" s="2"/>
      <c r="I62" s="2"/>
      <c r="J62" s="2"/>
      <c r="K62" s="2"/>
      <c r="L62" s="2"/>
      <c r="M62" s="2"/>
      <c r="N62" s="2"/>
      <c r="O62" s="2"/>
      <c r="P62" s="2"/>
      <c r="Q62" s="2"/>
      <c r="R62" s="2"/>
      <c r="S62" s="2"/>
      <c r="T62" s="2"/>
      <c r="U62" s="2"/>
      <c r="V62" s="2"/>
      <c r="W62" s="2"/>
      <c r="X62" s="2"/>
      <c r="Y62" s="2"/>
      <c r="Z62" s="2"/>
    </row>
    <row r="63" ht="15.75" customHeight="1">
      <c r="A63" s="1"/>
      <c r="B63" s="1"/>
      <c r="C63" s="1"/>
      <c r="D63" s="1"/>
      <c r="E63" s="1"/>
      <c r="F63" s="1"/>
      <c r="G63" s="2"/>
      <c r="H63" s="2"/>
      <c r="I63" s="2"/>
      <c r="J63" s="2"/>
      <c r="K63" s="2"/>
      <c r="L63" s="2"/>
      <c r="M63" s="2"/>
      <c r="N63" s="2"/>
      <c r="O63" s="2"/>
      <c r="P63" s="2"/>
      <c r="Q63" s="2"/>
      <c r="R63" s="2"/>
      <c r="S63" s="2"/>
      <c r="T63" s="2"/>
      <c r="U63" s="2"/>
      <c r="V63" s="2"/>
      <c r="W63" s="2"/>
      <c r="X63" s="2"/>
      <c r="Y63" s="2"/>
      <c r="Z63" s="2"/>
    </row>
    <row r="64" ht="15.75" customHeight="1">
      <c r="A64" s="1"/>
      <c r="B64" s="1"/>
      <c r="C64" s="1"/>
      <c r="D64" s="1"/>
      <c r="E64" s="1"/>
      <c r="F64" s="1"/>
      <c r="G64" s="2"/>
      <c r="H64" s="2"/>
      <c r="I64" s="2"/>
      <c r="J64" s="2"/>
      <c r="K64" s="2"/>
      <c r="L64" s="2"/>
      <c r="M64" s="2"/>
      <c r="N64" s="2"/>
      <c r="O64" s="2"/>
      <c r="P64" s="2"/>
      <c r="Q64" s="2"/>
      <c r="R64" s="2"/>
      <c r="S64" s="2"/>
      <c r="T64" s="2"/>
      <c r="U64" s="2"/>
      <c r="V64" s="2"/>
      <c r="W64" s="2"/>
      <c r="X64" s="2"/>
      <c r="Y64" s="2"/>
      <c r="Z64" s="2"/>
    </row>
    <row r="65" ht="15.75" customHeight="1">
      <c r="A65" s="1"/>
      <c r="B65" s="1"/>
      <c r="C65" s="1"/>
      <c r="D65" s="1"/>
      <c r="E65" s="1"/>
      <c r="F65" s="1"/>
      <c r="G65" s="2"/>
      <c r="H65" s="2"/>
      <c r="I65" s="2"/>
      <c r="J65" s="2"/>
      <c r="K65" s="2"/>
      <c r="L65" s="2"/>
      <c r="M65" s="2"/>
      <c r="N65" s="2"/>
      <c r="O65" s="2"/>
      <c r="P65" s="2"/>
      <c r="Q65" s="2"/>
      <c r="R65" s="2"/>
      <c r="S65" s="2"/>
      <c r="T65" s="2"/>
      <c r="U65" s="2"/>
      <c r="V65" s="2"/>
      <c r="W65" s="2"/>
      <c r="X65" s="2"/>
      <c r="Y65" s="2"/>
      <c r="Z65" s="2"/>
    </row>
    <row r="66" ht="15.75" customHeight="1">
      <c r="A66" s="1"/>
      <c r="B66" s="1"/>
      <c r="C66" s="1"/>
      <c r="D66" s="1"/>
      <c r="E66" s="1"/>
      <c r="F66" s="1"/>
      <c r="G66" s="2"/>
      <c r="H66" s="2"/>
      <c r="I66" s="2"/>
      <c r="J66" s="2"/>
      <c r="K66" s="2"/>
      <c r="L66" s="2"/>
      <c r="M66" s="2"/>
      <c r="N66" s="2"/>
      <c r="O66" s="2"/>
      <c r="P66" s="2"/>
      <c r="Q66" s="2"/>
      <c r="R66" s="2"/>
      <c r="S66" s="2"/>
      <c r="T66" s="2"/>
      <c r="U66" s="2"/>
      <c r="V66" s="2"/>
      <c r="W66" s="2"/>
      <c r="X66" s="2"/>
      <c r="Y66" s="2"/>
      <c r="Z66" s="2"/>
    </row>
    <row r="67" ht="15.75" customHeight="1">
      <c r="A67" s="1"/>
      <c r="B67" s="1"/>
      <c r="C67" s="1"/>
      <c r="D67" s="1"/>
      <c r="E67" s="1"/>
      <c r="F67" s="1"/>
      <c r="G67" s="2"/>
      <c r="H67" s="2"/>
      <c r="I67" s="2"/>
      <c r="J67" s="2"/>
      <c r="K67" s="2"/>
      <c r="L67" s="2"/>
      <c r="M67" s="2"/>
      <c r="N67" s="2"/>
      <c r="O67" s="2"/>
      <c r="P67" s="2"/>
      <c r="Q67" s="2"/>
      <c r="R67" s="2"/>
      <c r="S67" s="2"/>
      <c r="T67" s="2"/>
      <c r="U67" s="2"/>
      <c r="V67" s="2"/>
      <c r="W67" s="2"/>
      <c r="X67" s="2"/>
      <c r="Y67" s="2"/>
      <c r="Z67" s="2"/>
    </row>
    <row r="68" ht="15.75" customHeight="1">
      <c r="A68" s="1"/>
      <c r="B68" s="1"/>
      <c r="C68" s="1"/>
      <c r="D68" s="1"/>
      <c r="E68" s="1"/>
      <c r="F68" s="1"/>
      <c r="G68" s="2"/>
      <c r="H68" s="2"/>
      <c r="I68" s="2"/>
      <c r="J68" s="2"/>
      <c r="K68" s="2"/>
      <c r="L68" s="2"/>
      <c r="M68" s="2"/>
      <c r="N68" s="2"/>
      <c r="O68" s="2"/>
      <c r="P68" s="2"/>
      <c r="Q68" s="2"/>
      <c r="R68" s="2"/>
      <c r="S68" s="2"/>
      <c r="T68" s="2"/>
      <c r="U68" s="2"/>
      <c r="V68" s="2"/>
      <c r="W68" s="2"/>
      <c r="X68" s="2"/>
      <c r="Y68" s="2"/>
      <c r="Z68" s="2"/>
    </row>
    <row r="69" ht="15.75" customHeight="1">
      <c r="A69" s="1"/>
      <c r="B69" s="1"/>
      <c r="C69" s="1"/>
      <c r="D69" s="1"/>
      <c r="E69" s="1"/>
      <c r="F69" s="1"/>
      <c r="G69" s="2"/>
      <c r="H69" s="2"/>
      <c r="I69" s="2"/>
      <c r="J69" s="2"/>
      <c r="K69" s="2"/>
      <c r="L69" s="2"/>
      <c r="M69" s="2"/>
      <c r="N69" s="2"/>
      <c r="O69" s="2"/>
      <c r="P69" s="2"/>
      <c r="Q69" s="2"/>
      <c r="R69" s="2"/>
      <c r="S69" s="2"/>
      <c r="T69" s="2"/>
      <c r="U69" s="2"/>
      <c r="V69" s="2"/>
      <c r="W69" s="2"/>
      <c r="X69" s="2"/>
      <c r="Y69" s="2"/>
      <c r="Z69" s="2"/>
    </row>
    <row r="70" ht="15.75" customHeight="1">
      <c r="A70" s="1"/>
      <c r="B70" s="1"/>
      <c r="C70" s="1"/>
      <c r="D70" s="1"/>
      <c r="E70" s="1"/>
      <c r="F70" s="1"/>
      <c r="G70" s="2"/>
      <c r="H70" s="2"/>
      <c r="I70" s="2"/>
      <c r="J70" s="2"/>
      <c r="K70" s="2"/>
      <c r="L70" s="2"/>
      <c r="M70" s="2"/>
      <c r="N70" s="2"/>
      <c r="O70" s="2"/>
      <c r="P70" s="2"/>
      <c r="Q70" s="2"/>
      <c r="R70" s="2"/>
      <c r="S70" s="2"/>
      <c r="T70" s="2"/>
      <c r="U70" s="2"/>
      <c r="V70" s="2"/>
      <c r="W70" s="2"/>
      <c r="X70" s="2"/>
      <c r="Y70" s="2"/>
      <c r="Z70" s="2"/>
    </row>
    <row r="71" ht="15.75" customHeight="1">
      <c r="A71" s="1"/>
      <c r="B71" s="1"/>
      <c r="C71" s="1"/>
      <c r="D71" s="1"/>
      <c r="E71" s="1"/>
      <c r="F71" s="1"/>
      <c r="G71" s="2"/>
      <c r="H71" s="2"/>
      <c r="I71" s="2"/>
      <c r="J71" s="2"/>
      <c r="K71" s="2"/>
      <c r="L71" s="2"/>
      <c r="M71" s="2"/>
      <c r="N71" s="2"/>
      <c r="O71" s="2"/>
      <c r="P71" s="2"/>
      <c r="Q71" s="2"/>
      <c r="R71" s="2"/>
      <c r="S71" s="2"/>
      <c r="T71" s="2"/>
      <c r="U71" s="2"/>
      <c r="V71" s="2"/>
      <c r="W71" s="2"/>
      <c r="X71" s="2"/>
      <c r="Y71" s="2"/>
      <c r="Z71" s="2"/>
    </row>
    <row r="72" ht="15.75" customHeight="1">
      <c r="A72" s="1"/>
      <c r="B72" s="1"/>
      <c r="C72" s="1"/>
      <c r="D72" s="1"/>
      <c r="E72" s="1"/>
      <c r="F72" s="1"/>
      <c r="G72" s="2"/>
      <c r="H72" s="2"/>
      <c r="I72" s="2"/>
      <c r="J72" s="2"/>
      <c r="K72" s="2"/>
      <c r="L72" s="2"/>
      <c r="M72" s="2"/>
      <c r="N72" s="2"/>
      <c r="O72" s="2"/>
      <c r="P72" s="2"/>
      <c r="Q72" s="2"/>
      <c r="R72" s="2"/>
      <c r="S72" s="2"/>
      <c r="T72" s="2"/>
      <c r="U72" s="2"/>
      <c r="V72" s="2"/>
      <c r="W72" s="2"/>
      <c r="X72" s="2"/>
      <c r="Y72" s="2"/>
      <c r="Z72" s="2"/>
    </row>
    <row r="73" ht="15.75" customHeight="1">
      <c r="A73" s="1"/>
      <c r="B73" s="1"/>
      <c r="C73" s="1"/>
      <c r="D73" s="1"/>
      <c r="E73" s="1"/>
      <c r="F73" s="1"/>
      <c r="G73" s="2"/>
      <c r="H73" s="2"/>
      <c r="I73" s="2"/>
      <c r="J73" s="2"/>
      <c r="K73" s="2"/>
      <c r="L73" s="2"/>
      <c r="M73" s="2"/>
      <c r="N73" s="2"/>
      <c r="O73" s="2"/>
      <c r="P73" s="2"/>
      <c r="Q73" s="2"/>
      <c r="R73" s="2"/>
      <c r="S73" s="2"/>
      <c r="T73" s="2"/>
      <c r="U73" s="2"/>
      <c r="V73" s="2"/>
      <c r="W73" s="2"/>
      <c r="X73" s="2"/>
      <c r="Y73" s="2"/>
      <c r="Z73" s="2"/>
    </row>
    <row r="74" ht="15.75" customHeight="1">
      <c r="A74" s="1"/>
      <c r="B74" s="1"/>
      <c r="C74" s="1"/>
      <c r="D74" s="1"/>
      <c r="E74" s="1"/>
      <c r="F74" s="1"/>
      <c r="G74" s="2"/>
      <c r="H74" s="2"/>
      <c r="I74" s="2"/>
      <c r="J74" s="2"/>
      <c r="K74" s="2"/>
      <c r="L74" s="2"/>
      <c r="M74" s="2"/>
      <c r="N74" s="2"/>
      <c r="O74" s="2"/>
      <c r="P74" s="2"/>
      <c r="Q74" s="2"/>
      <c r="R74" s="2"/>
      <c r="S74" s="2"/>
      <c r="T74" s="2"/>
      <c r="U74" s="2"/>
      <c r="V74" s="2"/>
      <c r="W74" s="2"/>
      <c r="X74" s="2"/>
      <c r="Y74" s="2"/>
      <c r="Z74" s="2"/>
    </row>
    <row r="75" ht="15.75" customHeight="1">
      <c r="A75" s="1"/>
      <c r="B75" s="1"/>
      <c r="C75" s="1"/>
      <c r="D75" s="1"/>
      <c r="E75" s="1"/>
      <c r="F75" s="1"/>
      <c r="G75" s="2"/>
      <c r="H75" s="2"/>
      <c r="I75" s="2"/>
      <c r="J75" s="2"/>
      <c r="K75" s="2"/>
      <c r="L75" s="2"/>
      <c r="M75" s="2"/>
      <c r="N75" s="2"/>
      <c r="O75" s="2"/>
      <c r="P75" s="2"/>
      <c r="Q75" s="2"/>
      <c r="R75" s="2"/>
      <c r="S75" s="2"/>
      <c r="T75" s="2"/>
      <c r="U75" s="2"/>
      <c r="V75" s="2"/>
      <c r="W75" s="2"/>
      <c r="X75" s="2"/>
      <c r="Y75" s="2"/>
      <c r="Z75" s="2"/>
    </row>
    <row r="76" ht="15.75" customHeight="1">
      <c r="A76" s="1"/>
      <c r="B76" s="1"/>
      <c r="C76" s="1"/>
      <c r="D76" s="1"/>
      <c r="E76" s="1"/>
      <c r="F76" s="1"/>
      <c r="G76" s="2"/>
      <c r="H76" s="2"/>
      <c r="I76" s="2"/>
      <c r="J76" s="2"/>
      <c r="K76" s="2"/>
      <c r="L76" s="2"/>
      <c r="M76" s="2"/>
      <c r="N76" s="2"/>
      <c r="O76" s="2"/>
      <c r="P76" s="2"/>
      <c r="Q76" s="2"/>
      <c r="R76" s="2"/>
      <c r="S76" s="2"/>
      <c r="T76" s="2"/>
      <c r="U76" s="2"/>
      <c r="V76" s="2"/>
      <c r="W76" s="2"/>
      <c r="X76" s="2"/>
      <c r="Y76" s="2"/>
      <c r="Z76" s="2"/>
    </row>
    <row r="77" ht="15.75" customHeight="1">
      <c r="A77" s="1"/>
      <c r="B77" s="1"/>
      <c r="C77" s="1"/>
      <c r="D77" s="1"/>
      <c r="E77" s="1"/>
      <c r="F77" s="1"/>
      <c r="G77" s="2"/>
      <c r="H77" s="2"/>
      <c r="I77" s="2"/>
      <c r="J77" s="2"/>
      <c r="K77" s="2"/>
      <c r="L77" s="2"/>
      <c r="M77" s="2"/>
      <c r="N77" s="2"/>
      <c r="O77" s="2"/>
      <c r="P77" s="2"/>
      <c r="Q77" s="2"/>
      <c r="R77" s="2"/>
      <c r="S77" s="2"/>
      <c r="T77" s="2"/>
      <c r="U77" s="2"/>
      <c r="V77" s="2"/>
      <c r="W77" s="2"/>
      <c r="X77" s="2"/>
      <c r="Y77" s="2"/>
      <c r="Z77" s="2"/>
    </row>
    <row r="78" ht="15.75" customHeight="1">
      <c r="A78" s="1"/>
      <c r="B78" s="1"/>
      <c r="C78" s="1"/>
      <c r="D78" s="1"/>
      <c r="E78" s="1"/>
      <c r="F78" s="1"/>
      <c r="G78" s="2"/>
      <c r="H78" s="2"/>
      <c r="I78" s="2"/>
      <c r="J78" s="2"/>
      <c r="K78" s="2"/>
      <c r="L78" s="2"/>
      <c r="M78" s="2"/>
      <c r="N78" s="2"/>
      <c r="O78" s="2"/>
      <c r="P78" s="2"/>
      <c r="Q78" s="2"/>
      <c r="R78" s="2"/>
      <c r="S78" s="2"/>
      <c r="T78" s="2"/>
      <c r="U78" s="2"/>
      <c r="V78" s="2"/>
      <c r="W78" s="2"/>
      <c r="X78" s="2"/>
      <c r="Y78" s="2"/>
      <c r="Z78" s="2"/>
    </row>
    <row r="79" ht="15.75" customHeight="1">
      <c r="A79" s="1"/>
      <c r="B79" s="1"/>
      <c r="C79" s="1"/>
      <c r="D79" s="1"/>
      <c r="E79" s="1"/>
      <c r="F79" s="1"/>
      <c r="G79" s="2"/>
      <c r="H79" s="2"/>
      <c r="I79" s="2"/>
      <c r="J79" s="2"/>
      <c r="K79" s="2"/>
      <c r="L79" s="2"/>
      <c r="M79" s="2"/>
      <c r="N79" s="2"/>
      <c r="O79" s="2"/>
      <c r="P79" s="2"/>
      <c r="Q79" s="2"/>
      <c r="R79" s="2"/>
      <c r="S79" s="2"/>
      <c r="T79" s="2"/>
      <c r="U79" s="2"/>
      <c r="V79" s="2"/>
      <c r="W79" s="2"/>
      <c r="X79" s="2"/>
      <c r="Y79" s="2"/>
      <c r="Z79" s="2"/>
    </row>
    <row r="80" ht="15.75" customHeight="1">
      <c r="A80" s="1"/>
      <c r="B80" s="1"/>
      <c r="C80" s="1"/>
      <c r="D80" s="1"/>
      <c r="E80" s="1"/>
      <c r="F80" s="1"/>
      <c r="G80" s="2"/>
      <c r="H80" s="2"/>
      <c r="I80" s="2"/>
      <c r="J80" s="2"/>
      <c r="K80" s="2"/>
      <c r="L80" s="2"/>
      <c r="M80" s="2"/>
      <c r="N80" s="2"/>
      <c r="O80" s="2"/>
      <c r="P80" s="2"/>
      <c r="Q80" s="2"/>
      <c r="R80" s="2"/>
      <c r="S80" s="2"/>
      <c r="T80" s="2"/>
      <c r="U80" s="2"/>
      <c r="V80" s="2"/>
      <c r="W80" s="2"/>
      <c r="X80" s="2"/>
      <c r="Y80" s="2"/>
      <c r="Z80" s="2"/>
    </row>
    <row r="81" ht="15.75" customHeight="1">
      <c r="A81" s="1"/>
      <c r="B81" s="1"/>
      <c r="C81" s="1"/>
      <c r="D81" s="1"/>
      <c r="E81" s="1"/>
      <c r="F81" s="1"/>
      <c r="G81" s="2"/>
      <c r="H81" s="2"/>
      <c r="I81" s="2"/>
      <c r="J81" s="2"/>
      <c r="K81" s="2"/>
      <c r="L81" s="2"/>
      <c r="M81" s="2"/>
      <c r="N81" s="2"/>
      <c r="O81" s="2"/>
      <c r="P81" s="2"/>
      <c r="Q81" s="2"/>
      <c r="R81" s="2"/>
      <c r="S81" s="2"/>
      <c r="T81" s="2"/>
      <c r="U81" s="2"/>
      <c r="V81" s="2"/>
      <c r="W81" s="2"/>
      <c r="X81" s="2"/>
      <c r="Y81" s="2"/>
      <c r="Z81" s="2"/>
    </row>
    <row r="82" ht="15.75" customHeight="1">
      <c r="A82" s="1"/>
      <c r="B82" s="1"/>
      <c r="C82" s="1"/>
      <c r="D82" s="1"/>
      <c r="E82" s="1"/>
      <c r="F82" s="1"/>
      <c r="G82" s="2"/>
      <c r="H82" s="2"/>
      <c r="I82" s="2"/>
      <c r="J82" s="2"/>
      <c r="K82" s="2"/>
      <c r="L82" s="2"/>
      <c r="M82" s="2"/>
      <c r="N82" s="2"/>
      <c r="O82" s="2"/>
      <c r="P82" s="2"/>
      <c r="Q82" s="2"/>
      <c r="R82" s="2"/>
      <c r="S82" s="2"/>
      <c r="T82" s="2"/>
      <c r="U82" s="2"/>
      <c r="V82" s="2"/>
      <c r="W82" s="2"/>
      <c r="X82" s="2"/>
      <c r="Y82" s="2"/>
      <c r="Z82" s="2"/>
    </row>
    <row r="83" ht="15.75" customHeight="1">
      <c r="A83" s="1"/>
      <c r="B83" s="1"/>
      <c r="C83" s="1"/>
      <c r="D83" s="1"/>
      <c r="E83" s="1"/>
      <c r="F83" s="1"/>
      <c r="G83" s="2"/>
      <c r="H83" s="2"/>
      <c r="I83" s="2"/>
      <c r="J83" s="2"/>
      <c r="K83" s="2"/>
      <c r="L83" s="2"/>
      <c r="M83" s="2"/>
      <c r="N83" s="2"/>
      <c r="O83" s="2"/>
      <c r="P83" s="2"/>
      <c r="Q83" s="2"/>
      <c r="R83" s="2"/>
      <c r="S83" s="2"/>
      <c r="T83" s="2"/>
      <c r="U83" s="2"/>
      <c r="V83" s="2"/>
      <c r="W83" s="2"/>
      <c r="X83" s="2"/>
      <c r="Y83" s="2"/>
      <c r="Z83" s="2"/>
    </row>
    <row r="84" ht="15.75" customHeight="1">
      <c r="A84" s="1"/>
      <c r="B84" s="1"/>
      <c r="C84" s="1"/>
      <c r="D84" s="1"/>
      <c r="E84" s="1"/>
      <c r="F84" s="1"/>
      <c r="G84" s="2"/>
      <c r="H84" s="2"/>
      <c r="I84" s="2"/>
      <c r="J84" s="2"/>
      <c r="K84" s="2"/>
      <c r="L84" s="2"/>
      <c r="M84" s="2"/>
      <c r="N84" s="2"/>
      <c r="O84" s="2"/>
      <c r="P84" s="2"/>
      <c r="Q84" s="2"/>
      <c r="R84" s="2"/>
      <c r="S84" s="2"/>
      <c r="T84" s="2"/>
      <c r="U84" s="2"/>
      <c r="V84" s="2"/>
      <c r="W84" s="2"/>
      <c r="X84" s="2"/>
      <c r="Y84" s="2"/>
      <c r="Z84" s="2"/>
    </row>
    <row r="85" ht="15.75" customHeight="1">
      <c r="A85" s="1"/>
      <c r="B85" s="1"/>
      <c r="C85" s="1"/>
      <c r="D85" s="1"/>
      <c r="E85" s="1"/>
      <c r="F85" s="1"/>
      <c r="G85" s="2"/>
      <c r="H85" s="2"/>
      <c r="I85" s="2"/>
      <c r="J85" s="2"/>
      <c r="K85" s="2"/>
      <c r="L85" s="2"/>
      <c r="M85" s="2"/>
      <c r="N85" s="2"/>
      <c r="O85" s="2"/>
      <c r="P85" s="2"/>
      <c r="Q85" s="2"/>
      <c r="R85" s="2"/>
      <c r="S85" s="2"/>
      <c r="T85" s="2"/>
      <c r="U85" s="2"/>
      <c r="V85" s="2"/>
      <c r="W85" s="2"/>
      <c r="X85" s="2"/>
      <c r="Y85" s="2"/>
      <c r="Z85" s="2"/>
    </row>
    <row r="86" ht="15.75" customHeight="1">
      <c r="A86" s="1"/>
      <c r="B86" s="1"/>
      <c r="C86" s="1"/>
      <c r="D86" s="1"/>
      <c r="E86" s="1"/>
      <c r="F86" s="1"/>
      <c r="G86" s="2"/>
      <c r="H86" s="2"/>
      <c r="I86" s="2"/>
      <c r="J86" s="2"/>
      <c r="K86" s="2"/>
      <c r="L86" s="2"/>
      <c r="M86" s="2"/>
      <c r="N86" s="2"/>
      <c r="O86" s="2"/>
      <c r="P86" s="2"/>
      <c r="Q86" s="2"/>
      <c r="R86" s="2"/>
      <c r="S86" s="2"/>
      <c r="T86" s="2"/>
      <c r="U86" s="2"/>
      <c r="V86" s="2"/>
      <c r="W86" s="2"/>
      <c r="X86" s="2"/>
      <c r="Y86" s="2"/>
      <c r="Z86" s="2"/>
    </row>
    <row r="87" ht="15.75" customHeight="1">
      <c r="A87" s="1"/>
      <c r="B87" s="1"/>
      <c r="C87" s="1"/>
      <c r="D87" s="1"/>
      <c r="E87" s="1"/>
      <c r="F87" s="1"/>
      <c r="G87" s="2"/>
      <c r="H87" s="2"/>
      <c r="I87" s="2"/>
      <c r="J87" s="2"/>
      <c r="K87" s="2"/>
      <c r="L87" s="2"/>
      <c r="M87" s="2"/>
      <c r="N87" s="2"/>
      <c r="O87" s="2"/>
      <c r="P87" s="2"/>
      <c r="Q87" s="2"/>
      <c r="R87" s="2"/>
      <c r="S87" s="2"/>
      <c r="T87" s="2"/>
      <c r="U87" s="2"/>
      <c r="V87" s="2"/>
      <c r="W87" s="2"/>
      <c r="X87" s="2"/>
      <c r="Y87" s="2"/>
      <c r="Z87" s="2"/>
    </row>
    <row r="88" ht="15.75" customHeight="1">
      <c r="A88" s="1"/>
      <c r="B88" s="1"/>
      <c r="C88" s="1"/>
      <c r="D88" s="1"/>
      <c r="E88" s="1"/>
      <c r="F88" s="1"/>
      <c r="G88" s="2"/>
      <c r="H88" s="2"/>
      <c r="I88" s="2"/>
      <c r="J88" s="2"/>
      <c r="K88" s="2"/>
      <c r="L88" s="2"/>
      <c r="M88" s="2"/>
      <c r="N88" s="2"/>
      <c r="O88" s="2"/>
      <c r="P88" s="2"/>
      <c r="Q88" s="2"/>
      <c r="R88" s="2"/>
      <c r="S88" s="2"/>
      <c r="T88" s="2"/>
      <c r="U88" s="2"/>
      <c r="V88" s="2"/>
      <c r="W88" s="2"/>
      <c r="X88" s="2"/>
      <c r="Y88" s="2"/>
      <c r="Z88" s="2"/>
    </row>
    <row r="89" ht="15.75" customHeight="1">
      <c r="A89" s="1"/>
      <c r="B89" s="1"/>
      <c r="C89" s="1"/>
      <c r="D89" s="1"/>
      <c r="E89" s="1"/>
      <c r="F89" s="1"/>
      <c r="G89" s="2"/>
      <c r="H89" s="2"/>
      <c r="I89" s="2"/>
      <c r="J89" s="2"/>
      <c r="K89" s="2"/>
      <c r="L89" s="2"/>
      <c r="M89" s="2"/>
      <c r="N89" s="2"/>
      <c r="O89" s="2"/>
      <c r="P89" s="2"/>
      <c r="Q89" s="2"/>
      <c r="R89" s="2"/>
      <c r="S89" s="2"/>
      <c r="T89" s="2"/>
      <c r="U89" s="2"/>
      <c r="V89" s="2"/>
      <c r="W89" s="2"/>
      <c r="X89" s="2"/>
      <c r="Y89" s="2"/>
      <c r="Z89" s="2"/>
    </row>
    <row r="90" ht="15.75" customHeight="1">
      <c r="A90" s="1"/>
      <c r="B90" s="1"/>
      <c r="C90" s="1"/>
      <c r="D90" s="1"/>
      <c r="E90" s="1"/>
      <c r="F90" s="1"/>
      <c r="G90" s="2"/>
      <c r="H90" s="2"/>
      <c r="I90" s="2"/>
      <c r="J90" s="2"/>
      <c r="K90" s="2"/>
      <c r="L90" s="2"/>
      <c r="M90" s="2"/>
      <c r="N90" s="2"/>
      <c r="O90" s="2"/>
      <c r="P90" s="2"/>
      <c r="Q90" s="2"/>
      <c r="R90" s="2"/>
      <c r="S90" s="2"/>
      <c r="T90" s="2"/>
      <c r="U90" s="2"/>
      <c r="V90" s="2"/>
      <c r="W90" s="2"/>
      <c r="X90" s="2"/>
      <c r="Y90" s="2"/>
      <c r="Z90" s="2"/>
    </row>
    <row r="91" ht="15.75" customHeight="1">
      <c r="A91" s="1"/>
      <c r="B91" s="1"/>
      <c r="C91" s="1"/>
      <c r="D91" s="1"/>
      <c r="E91" s="1"/>
      <c r="F91" s="1"/>
      <c r="G91" s="2"/>
      <c r="H91" s="2"/>
      <c r="I91" s="2"/>
      <c r="J91" s="2"/>
      <c r="K91" s="2"/>
      <c r="L91" s="2"/>
      <c r="M91" s="2"/>
      <c r="N91" s="2"/>
      <c r="O91" s="2"/>
      <c r="P91" s="2"/>
      <c r="Q91" s="2"/>
      <c r="R91" s="2"/>
      <c r="S91" s="2"/>
      <c r="T91" s="2"/>
      <c r="U91" s="2"/>
      <c r="V91" s="2"/>
      <c r="W91" s="2"/>
      <c r="X91" s="2"/>
      <c r="Y91" s="2"/>
      <c r="Z91" s="2"/>
    </row>
    <row r="92" ht="15.75" customHeight="1">
      <c r="A92" s="1"/>
      <c r="B92" s="1"/>
      <c r="C92" s="1"/>
      <c r="D92" s="1"/>
      <c r="E92" s="1"/>
      <c r="F92" s="1"/>
      <c r="G92" s="2"/>
      <c r="H92" s="2"/>
      <c r="I92" s="2"/>
      <c r="J92" s="2"/>
      <c r="K92" s="2"/>
      <c r="L92" s="2"/>
      <c r="M92" s="2"/>
      <c r="N92" s="2"/>
      <c r="O92" s="2"/>
      <c r="P92" s="2"/>
      <c r="Q92" s="2"/>
      <c r="R92" s="2"/>
      <c r="S92" s="2"/>
      <c r="T92" s="2"/>
      <c r="U92" s="2"/>
      <c r="V92" s="2"/>
      <c r="W92" s="2"/>
      <c r="X92" s="2"/>
      <c r="Y92" s="2"/>
      <c r="Z92" s="2"/>
    </row>
    <row r="93" ht="15.75" customHeight="1">
      <c r="A93" s="1"/>
      <c r="B93" s="1"/>
      <c r="C93" s="1"/>
      <c r="D93" s="1"/>
      <c r="E93" s="1"/>
      <c r="F93" s="1"/>
      <c r="G93" s="2"/>
      <c r="H93" s="2"/>
      <c r="I93" s="2"/>
      <c r="J93" s="2"/>
      <c r="K93" s="2"/>
      <c r="L93" s="2"/>
      <c r="M93" s="2"/>
      <c r="N93" s="2"/>
      <c r="O93" s="2"/>
      <c r="P93" s="2"/>
      <c r="Q93" s="2"/>
      <c r="R93" s="2"/>
      <c r="S93" s="2"/>
      <c r="T93" s="2"/>
      <c r="U93" s="2"/>
      <c r="V93" s="2"/>
      <c r="W93" s="2"/>
      <c r="X93" s="2"/>
      <c r="Y93" s="2"/>
      <c r="Z93" s="2"/>
    </row>
    <row r="94" ht="15.75" customHeight="1">
      <c r="A94" s="1"/>
      <c r="B94" s="1"/>
      <c r="C94" s="1"/>
      <c r="D94" s="1"/>
      <c r="E94" s="1"/>
      <c r="F94" s="1"/>
      <c r="G94" s="2"/>
      <c r="H94" s="2"/>
      <c r="I94" s="2"/>
      <c r="J94" s="2"/>
      <c r="K94" s="2"/>
      <c r="L94" s="2"/>
      <c r="M94" s="2"/>
      <c r="N94" s="2"/>
      <c r="O94" s="2"/>
      <c r="P94" s="2"/>
      <c r="Q94" s="2"/>
      <c r="R94" s="2"/>
      <c r="S94" s="2"/>
      <c r="T94" s="2"/>
      <c r="U94" s="2"/>
      <c r="V94" s="2"/>
      <c r="W94" s="2"/>
      <c r="X94" s="2"/>
      <c r="Y94" s="2"/>
      <c r="Z94" s="2"/>
    </row>
    <row r="95" ht="15.75" customHeight="1">
      <c r="A95" s="1"/>
      <c r="B95" s="1"/>
      <c r="C95" s="1"/>
      <c r="D95" s="1"/>
      <c r="E95" s="1"/>
      <c r="F95" s="1"/>
      <c r="G95" s="2"/>
      <c r="H95" s="2"/>
      <c r="I95" s="2"/>
      <c r="J95" s="2"/>
      <c r="K95" s="2"/>
      <c r="L95" s="2"/>
      <c r="M95" s="2"/>
      <c r="N95" s="2"/>
      <c r="O95" s="2"/>
      <c r="P95" s="2"/>
      <c r="Q95" s="2"/>
      <c r="R95" s="2"/>
      <c r="S95" s="2"/>
      <c r="T95" s="2"/>
      <c r="U95" s="2"/>
      <c r="V95" s="2"/>
      <c r="W95" s="2"/>
      <c r="X95" s="2"/>
      <c r="Y95" s="2"/>
      <c r="Z95" s="2"/>
    </row>
    <row r="96" ht="15.75" customHeight="1">
      <c r="A96" s="1"/>
      <c r="B96" s="1"/>
      <c r="C96" s="1"/>
      <c r="D96" s="1"/>
      <c r="E96" s="1"/>
      <c r="F96" s="1"/>
      <c r="G96" s="2"/>
      <c r="H96" s="2"/>
      <c r="I96" s="2"/>
      <c r="J96" s="2"/>
      <c r="K96" s="2"/>
      <c r="L96" s="2"/>
      <c r="M96" s="2"/>
      <c r="N96" s="2"/>
      <c r="O96" s="2"/>
      <c r="P96" s="2"/>
      <c r="Q96" s="2"/>
      <c r="R96" s="2"/>
      <c r="S96" s="2"/>
      <c r="T96" s="2"/>
      <c r="U96" s="2"/>
      <c r="V96" s="2"/>
      <c r="W96" s="2"/>
      <c r="X96" s="2"/>
      <c r="Y96" s="2"/>
      <c r="Z96" s="2"/>
    </row>
    <row r="97" ht="15.75" customHeight="1">
      <c r="A97" s="1"/>
      <c r="B97" s="1"/>
      <c r="C97" s="1"/>
      <c r="D97" s="1"/>
      <c r="E97" s="1"/>
      <c r="F97" s="1"/>
      <c r="G97" s="2"/>
      <c r="H97" s="2"/>
      <c r="I97" s="2"/>
      <c r="J97" s="2"/>
      <c r="K97" s="2"/>
      <c r="L97" s="2"/>
      <c r="M97" s="2"/>
      <c r="N97" s="2"/>
      <c r="O97" s="2"/>
      <c r="P97" s="2"/>
      <c r="Q97" s="2"/>
      <c r="R97" s="2"/>
      <c r="S97" s="2"/>
      <c r="T97" s="2"/>
      <c r="U97" s="2"/>
      <c r="V97" s="2"/>
      <c r="W97" s="2"/>
      <c r="X97" s="2"/>
      <c r="Y97" s="2"/>
      <c r="Z97" s="2"/>
    </row>
    <row r="98" ht="15.75" customHeight="1">
      <c r="A98" s="1"/>
      <c r="B98" s="1"/>
      <c r="C98" s="1"/>
      <c r="D98" s="1"/>
      <c r="E98" s="1"/>
      <c r="F98" s="1"/>
      <c r="G98" s="2"/>
      <c r="H98" s="2"/>
      <c r="I98" s="2"/>
      <c r="J98" s="2"/>
      <c r="K98" s="2"/>
      <c r="L98" s="2"/>
      <c r="M98" s="2"/>
      <c r="N98" s="2"/>
      <c r="O98" s="2"/>
      <c r="P98" s="2"/>
      <c r="Q98" s="2"/>
      <c r="R98" s="2"/>
      <c r="S98" s="2"/>
      <c r="T98" s="2"/>
      <c r="U98" s="2"/>
      <c r="V98" s="2"/>
      <c r="W98" s="2"/>
      <c r="X98" s="2"/>
      <c r="Y98" s="2"/>
      <c r="Z98" s="2"/>
    </row>
    <row r="99" ht="15.75" customHeight="1">
      <c r="A99" s="1"/>
      <c r="B99" s="1"/>
      <c r="C99" s="1"/>
      <c r="D99" s="1"/>
      <c r="E99" s="1"/>
      <c r="F99" s="1"/>
      <c r="G99" s="2"/>
      <c r="H99" s="2"/>
      <c r="I99" s="2"/>
      <c r="J99" s="2"/>
      <c r="K99" s="2"/>
      <c r="L99" s="2"/>
      <c r="M99" s="2"/>
      <c r="N99" s="2"/>
      <c r="O99" s="2"/>
      <c r="P99" s="2"/>
      <c r="Q99" s="2"/>
      <c r="R99" s="2"/>
      <c r="S99" s="2"/>
      <c r="T99" s="2"/>
      <c r="U99" s="2"/>
      <c r="V99" s="2"/>
      <c r="W99" s="2"/>
      <c r="X99" s="2"/>
      <c r="Y99" s="2"/>
      <c r="Z99" s="2"/>
    </row>
    <row r="100" ht="15.75" customHeight="1">
      <c r="A100" s="1"/>
      <c r="B100" s="1"/>
      <c r="C100" s="1"/>
      <c r="D100" s="1"/>
      <c r="E100" s="1"/>
      <c r="F100" s="1"/>
      <c r="G100" s="2"/>
      <c r="H100" s="2"/>
      <c r="I100" s="2"/>
      <c r="J100" s="2"/>
      <c r="K100" s="2"/>
      <c r="L100" s="2"/>
      <c r="M100" s="2"/>
      <c r="N100" s="2"/>
      <c r="O100" s="2"/>
      <c r="P100" s="2"/>
      <c r="Q100" s="2"/>
      <c r="R100" s="2"/>
      <c r="S100" s="2"/>
      <c r="T100" s="2"/>
      <c r="U100" s="2"/>
      <c r="V100" s="2"/>
      <c r="W100" s="2"/>
      <c r="X100" s="2"/>
      <c r="Y100" s="2"/>
      <c r="Z100" s="2"/>
    </row>
    <row r="101" ht="15.75" customHeight="1">
      <c r="A101" s="1"/>
      <c r="B101" s="1"/>
      <c r="C101" s="1"/>
      <c r="D101" s="1"/>
      <c r="E101" s="1"/>
      <c r="F101" s="1"/>
      <c r="G101" s="2"/>
      <c r="H101" s="2"/>
      <c r="I101" s="2"/>
      <c r="J101" s="2"/>
      <c r="K101" s="2"/>
      <c r="L101" s="2"/>
      <c r="M101" s="2"/>
      <c r="N101" s="2"/>
      <c r="O101" s="2"/>
      <c r="P101" s="2"/>
      <c r="Q101" s="2"/>
      <c r="R101" s="2"/>
      <c r="S101" s="2"/>
      <c r="T101" s="2"/>
      <c r="U101" s="2"/>
      <c r="V101" s="2"/>
      <c r="W101" s="2"/>
      <c r="X101" s="2"/>
      <c r="Y101" s="2"/>
      <c r="Z101" s="2"/>
    </row>
    <row r="102" ht="15.75" customHeight="1">
      <c r="A102" s="1"/>
      <c r="B102" s="1"/>
      <c r="C102" s="1"/>
      <c r="D102" s="1"/>
      <c r="E102" s="1"/>
      <c r="F102" s="1"/>
      <c r="G102" s="2"/>
      <c r="H102" s="2"/>
      <c r="I102" s="2"/>
      <c r="J102" s="2"/>
      <c r="K102" s="2"/>
      <c r="L102" s="2"/>
      <c r="M102" s="2"/>
      <c r="N102" s="2"/>
      <c r="O102" s="2"/>
      <c r="P102" s="2"/>
      <c r="Q102" s="2"/>
      <c r="R102" s="2"/>
      <c r="S102" s="2"/>
      <c r="T102" s="2"/>
      <c r="U102" s="2"/>
      <c r="V102" s="2"/>
      <c r="W102" s="2"/>
      <c r="X102" s="2"/>
      <c r="Y102" s="2"/>
      <c r="Z102" s="2"/>
    </row>
    <row r="103" ht="15.75" customHeight="1">
      <c r="A103" s="1"/>
      <c r="B103" s="1"/>
      <c r="C103" s="1"/>
      <c r="D103" s="1"/>
      <c r="E103" s="1"/>
      <c r="F103" s="1"/>
      <c r="G103" s="2"/>
      <c r="H103" s="2"/>
      <c r="I103" s="2"/>
      <c r="J103" s="2"/>
      <c r="K103" s="2"/>
      <c r="L103" s="2"/>
      <c r="M103" s="2"/>
      <c r="N103" s="2"/>
      <c r="O103" s="2"/>
      <c r="P103" s="2"/>
      <c r="Q103" s="2"/>
      <c r="R103" s="2"/>
      <c r="S103" s="2"/>
      <c r="T103" s="2"/>
      <c r="U103" s="2"/>
      <c r="V103" s="2"/>
      <c r="W103" s="2"/>
      <c r="X103" s="2"/>
      <c r="Y103" s="2"/>
      <c r="Z103" s="2"/>
    </row>
    <row r="104" ht="15.75" customHeight="1">
      <c r="A104" s="1"/>
      <c r="B104" s="1"/>
      <c r="C104" s="1"/>
      <c r="D104" s="1"/>
      <c r="E104" s="1"/>
      <c r="F104" s="1"/>
      <c r="G104" s="2"/>
      <c r="H104" s="2"/>
      <c r="I104" s="2"/>
      <c r="J104" s="2"/>
      <c r="K104" s="2"/>
      <c r="L104" s="2"/>
      <c r="M104" s="2"/>
      <c r="N104" s="2"/>
      <c r="O104" s="2"/>
      <c r="P104" s="2"/>
      <c r="Q104" s="2"/>
      <c r="R104" s="2"/>
      <c r="S104" s="2"/>
      <c r="T104" s="2"/>
      <c r="U104" s="2"/>
      <c r="V104" s="2"/>
      <c r="W104" s="2"/>
      <c r="X104" s="2"/>
      <c r="Y104" s="2"/>
      <c r="Z104" s="2"/>
    </row>
    <row r="105" ht="15.75" customHeight="1">
      <c r="A105" s="1"/>
      <c r="B105" s="1"/>
      <c r="C105" s="1"/>
      <c r="D105" s="1"/>
      <c r="E105" s="1"/>
      <c r="F105" s="1"/>
      <c r="G105" s="2"/>
      <c r="H105" s="2"/>
      <c r="I105" s="2"/>
      <c r="J105" s="2"/>
      <c r="K105" s="2"/>
      <c r="L105" s="2"/>
      <c r="M105" s="2"/>
      <c r="N105" s="2"/>
      <c r="O105" s="2"/>
      <c r="P105" s="2"/>
      <c r="Q105" s="2"/>
      <c r="R105" s="2"/>
      <c r="S105" s="2"/>
      <c r="T105" s="2"/>
      <c r="U105" s="2"/>
      <c r="V105" s="2"/>
      <c r="W105" s="2"/>
      <c r="X105" s="2"/>
      <c r="Y105" s="2"/>
      <c r="Z105" s="2"/>
    </row>
    <row r="106" ht="15.75" customHeight="1">
      <c r="A106" s="1"/>
      <c r="B106" s="1"/>
      <c r="C106" s="1"/>
      <c r="D106" s="1"/>
      <c r="E106" s="1"/>
      <c r="F106" s="1"/>
      <c r="G106" s="2"/>
      <c r="H106" s="2"/>
      <c r="I106" s="2"/>
      <c r="J106" s="2"/>
      <c r="K106" s="2"/>
      <c r="L106" s="2"/>
      <c r="M106" s="2"/>
      <c r="N106" s="2"/>
      <c r="O106" s="2"/>
      <c r="P106" s="2"/>
      <c r="Q106" s="2"/>
      <c r="R106" s="2"/>
      <c r="S106" s="2"/>
      <c r="T106" s="2"/>
      <c r="U106" s="2"/>
      <c r="V106" s="2"/>
      <c r="W106" s="2"/>
      <c r="X106" s="2"/>
      <c r="Y106" s="2"/>
      <c r="Z106" s="2"/>
    </row>
    <row r="107" ht="15.75" customHeight="1">
      <c r="A107" s="1"/>
      <c r="B107" s="1"/>
      <c r="C107" s="1"/>
      <c r="D107" s="1"/>
      <c r="E107" s="1"/>
      <c r="F107" s="1"/>
      <c r="G107" s="2"/>
      <c r="H107" s="2"/>
      <c r="I107" s="2"/>
      <c r="J107" s="2"/>
      <c r="K107" s="2"/>
      <c r="L107" s="2"/>
      <c r="M107" s="2"/>
      <c r="N107" s="2"/>
      <c r="O107" s="2"/>
      <c r="P107" s="2"/>
      <c r="Q107" s="2"/>
      <c r="R107" s="2"/>
      <c r="S107" s="2"/>
      <c r="T107" s="2"/>
      <c r="U107" s="2"/>
      <c r="V107" s="2"/>
      <c r="W107" s="2"/>
      <c r="X107" s="2"/>
      <c r="Y107" s="2"/>
      <c r="Z107" s="2"/>
    </row>
    <row r="108" ht="15.75" customHeight="1">
      <c r="A108" s="1"/>
      <c r="B108" s="1"/>
      <c r="C108" s="1"/>
      <c r="D108" s="1"/>
      <c r="E108" s="1"/>
      <c r="F108" s="1"/>
      <c r="G108" s="2"/>
      <c r="H108" s="2"/>
      <c r="I108" s="2"/>
      <c r="J108" s="2"/>
      <c r="K108" s="2"/>
      <c r="L108" s="2"/>
      <c r="M108" s="2"/>
      <c r="N108" s="2"/>
      <c r="O108" s="2"/>
      <c r="P108" s="2"/>
      <c r="Q108" s="2"/>
      <c r="R108" s="2"/>
      <c r="S108" s="2"/>
      <c r="T108" s="2"/>
      <c r="U108" s="2"/>
      <c r="V108" s="2"/>
      <c r="W108" s="2"/>
      <c r="X108" s="2"/>
      <c r="Y108" s="2"/>
      <c r="Z108" s="2"/>
    </row>
    <row r="109" ht="15.75" customHeight="1">
      <c r="A109" s="1"/>
      <c r="B109" s="1"/>
      <c r="C109" s="1"/>
      <c r="D109" s="1"/>
      <c r="E109" s="1"/>
      <c r="F109" s="1"/>
      <c r="G109" s="2"/>
      <c r="H109" s="2"/>
      <c r="I109" s="2"/>
      <c r="J109" s="2"/>
      <c r="K109" s="2"/>
      <c r="L109" s="2"/>
      <c r="M109" s="2"/>
      <c r="N109" s="2"/>
      <c r="O109" s="2"/>
      <c r="P109" s="2"/>
      <c r="Q109" s="2"/>
      <c r="R109" s="2"/>
      <c r="S109" s="2"/>
      <c r="T109" s="2"/>
      <c r="U109" s="2"/>
      <c r="V109" s="2"/>
      <c r="W109" s="2"/>
      <c r="X109" s="2"/>
      <c r="Y109" s="2"/>
      <c r="Z109" s="2"/>
    </row>
    <row r="110" ht="15.75" customHeight="1">
      <c r="A110" s="1"/>
      <c r="B110" s="1"/>
      <c r="C110" s="1"/>
      <c r="D110" s="1"/>
      <c r="E110" s="1"/>
      <c r="F110" s="1"/>
      <c r="G110" s="2"/>
      <c r="H110" s="2"/>
      <c r="I110" s="2"/>
      <c r="J110" s="2"/>
      <c r="K110" s="2"/>
      <c r="L110" s="2"/>
      <c r="M110" s="2"/>
      <c r="N110" s="2"/>
      <c r="O110" s="2"/>
      <c r="P110" s="2"/>
      <c r="Q110" s="2"/>
      <c r="R110" s="2"/>
      <c r="S110" s="2"/>
      <c r="T110" s="2"/>
      <c r="U110" s="2"/>
      <c r="V110" s="2"/>
      <c r="W110" s="2"/>
      <c r="X110" s="2"/>
      <c r="Y110" s="2"/>
      <c r="Z110" s="2"/>
    </row>
    <row r="111" ht="15.75" customHeight="1">
      <c r="A111" s="1"/>
      <c r="B111" s="1"/>
      <c r="C111" s="1"/>
      <c r="D111" s="1"/>
      <c r="E111" s="1"/>
      <c r="F111" s="1"/>
      <c r="G111" s="2"/>
      <c r="H111" s="2"/>
      <c r="I111" s="2"/>
      <c r="J111" s="2"/>
      <c r="K111" s="2"/>
      <c r="L111" s="2"/>
      <c r="M111" s="2"/>
      <c r="N111" s="2"/>
      <c r="O111" s="2"/>
      <c r="P111" s="2"/>
      <c r="Q111" s="2"/>
      <c r="R111" s="2"/>
      <c r="S111" s="2"/>
      <c r="T111" s="2"/>
      <c r="U111" s="2"/>
      <c r="V111" s="2"/>
      <c r="W111" s="2"/>
      <c r="X111" s="2"/>
      <c r="Y111" s="2"/>
      <c r="Z111" s="2"/>
    </row>
    <row r="112" ht="15.75" customHeight="1">
      <c r="A112" s="1"/>
      <c r="B112" s="1"/>
      <c r="C112" s="1"/>
      <c r="D112" s="1"/>
      <c r="E112" s="1"/>
      <c r="F112" s="1"/>
      <c r="G112" s="2"/>
      <c r="H112" s="2"/>
      <c r="I112" s="2"/>
      <c r="J112" s="2"/>
      <c r="K112" s="2"/>
      <c r="L112" s="2"/>
      <c r="M112" s="2"/>
      <c r="N112" s="2"/>
      <c r="O112" s="2"/>
      <c r="P112" s="2"/>
      <c r="Q112" s="2"/>
      <c r="R112" s="2"/>
      <c r="S112" s="2"/>
      <c r="T112" s="2"/>
      <c r="U112" s="2"/>
      <c r="V112" s="2"/>
      <c r="W112" s="2"/>
      <c r="X112" s="2"/>
      <c r="Y112" s="2"/>
      <c r="Z112" s="2"/>
    </row>
    <row r="113" ht="15.75" customHeight="1">
      <c r="A113" s="1"/>
      <c r="B113" s="1"/>
      <c r="C113" s="1"/>
      <c r="D113" s="1"/>
      <c r="E113" s="1"/>
      <c r="F113" s="1"/>
      <c r="G113" s="2"/>
      <c r="H113" s="2"/>
      <c r="I113" s="2"/>
      <c r="J113" s="2"/>
      <c r="K113" s="2"/>
      <c r="L113" s="2"/>
      <c r="M113" s="2"/>
      <c r="N113" s="2"/>
      <c r="O113" s="2"/>
      <c r="P113" s="2"/>
      <c r="Q113" s="2"/>
      <c r="R113" s="2"/>
      <c r="S113" s="2"/>
      <c r="T113" s="2"/>
      <c r="U113" s="2"/>
      <c r="V113" s="2"/>
      <c r="W113" s="2"/>
      <c r="X113" s="2"/>
      <c r="Y113" s="2"/>
      <c r="Z113" s="2"/>
    </row>
    <row r="114" ht="15.75" customHeight="1">
      <c r="A114" s="1"/>
      <c r="B114" s="1"/>
      <c r="C114" s="1"/>
      <c r="D114" s="1"/>
      <c r="E114" s="1"/>
      <c r="F114" s="1"/>
      <c r="G114" s="2"/>
      <c r="H114" s="2"/>
      <c r="I114" s="2"/>
      <c r="J114" s="2"/>
      <c r="K114" s="2"/>
      <c r="L114" s="2"/>
      <c r="M114" s="2"/>
      <c r="N114" s="2"/>
      <c r="O114" s="2"/>
      <c r="P114" s="2"/>
      <c r="Q114" s="2"/>
      <c r="R114" s="2"/>
      <c r="S114" s="2"/>
      <c r="T114" s="2"/>
      <c r="U114" s="2"/>
      <c r="V114" s="2"/>
      <c r="W114" s="2"/>
      <c r="X114" s="2"/>
      <c r="Y114" s="2"/>
      <c r="Z114" s="2"/>
    </row>
    <row r="115" ht="15.75" customHeight="1">
      <c r="A115" s="1"/>
      <c r="B115" s="1"/>
      <c r="C115" s="1"/>
      <c r="D115" s="1"/>
      <c r="E115" s="1"/>
      <c r="F115" s="1"/>
      <c r="G115" s="2"/>
      <c r="H115" s="2"/>
      <c r="I115" s="2"/>
      <c r="J115" s="2"/>
      <c r="K115" s="2"/>
      <c r="L115" s="2"/>
      <c r="M115" s="2"/>
      <c r="N115" s="2"/>
      <c r="O115" s="2"/>
      <c r="P115" s="2"/>
      <c r="Q115" s="2"/>
      <c r="R115" s="2"/>
      <c r="S115" s="2"/>
      <c r="T115" s="2"/>
      <c r="U115" s="2"/>
      <c r="V115" s="2"/>
      <c r="W115" s="2"/>
      <c r="X115" s="2"/>
      <c r="Y115" s="2"/>
      <c r="Z115" s="2"/>
    </row>
    <row r="116" ht="15.75" customHeight="1">
      <c r="A116" s="1"/>
      <c r="B116" s="1"/>
      <c r="C116" s="1"/>
      <c r="D116" s="1"/>
      <c r="E116" s="1"/>
      <c r="F116" s="1"/>
      <c r="G116" s="2"/>
      <c r="H116" s="2"/>
      <c r="I116" s="2"/>
      <c r="J116" s="2"/>
      <c r="K116" s="2"/>
      <c r="L116" s="2"/>
      <c r="M116" s="2"/>
      <c r="N116" s="2"/>
      <c r="O116" s="2"/>
      <c r="P116" s="2"/>
      <c r="Q116" s="2"/>
      <c r="R116" s="2"/>
      <c r="S116" s="2"/>
      <c r="T116" s="2"/>
      <c r="U116" s="2"/>
      <c r="V116" s="2"/>
      <c r="W116" s="2"/>
      <c r="X116" s="2"/>
      <c r="Y116" s="2"/>
      <c r="Z116" s="2"/>
    </row>
    <row r="117" ht="15.75" customHeight="1">
      <c r="A117" s="1"/>
      <c r="B117" s="1"/>
      <c r="C117" s="1"/>
      <c r="D117" s="1"/>
      <c r="E117" s="1"/>
      <c r="F117" s="1"/>
      <c r="G117" s="2"/>
      <c r="H117" s="2"/>
      <c r="I117" s="2"/>
      <c r="J117" s="2"/>
      <c r="K117" s="2"/>
      <c r="L117" s="2"/>
      <c r="M117" s="2"/>
      <c r="N117" s="2"/>
      <c r="O117" s="2"/>
      <c r="P117" s="2"/>
      <c r="Q117" s="2"/>
      <c r="R117" s="2"/>
      <c r="S117" s="2"/>
      <c r="T117" s="2"/>
      <c r="U117" s="2"/>
      <c r="V117" s="2"/>
      <c r="W117" s="2"/>
      <c r="X117" s="2"/>
      <c r="Y117" s="2"/>
      <c r="Z117" s="2"/>
    </row>
    <row r="118" ht="15.75" customHeight="1">
      <c r="A118" s="1"/>
      <c r="B118" s="1"/>
      <c r="C118" s="1"/>
      <c r="D118" s="1"/>
      <c r="E118" s="1"/>
      <c r="F118" s="1"/>
      <c r="G118" s="2"/>
      <c r="H118" s="2"/>
      <c r="I118" s="2"/>
      <c r="J118" s="2"/>
      <c r="K118" s="2"/>
      <c r="L118" s="2"/>
      <c r="M118" s="2"/>
      <c r="N118" s="2"/>
      <c r="O118" s="2"/>
      <c r="P118" s="2"/>
      <c r="Q118" s="2"/>
      <c r="R118" s="2"/>
      <c r="S118" s="2"/>
      <c r="T118" s="2"/>
      <c r="U118" s="2"/>
      <c r="V118" s="2"/>
      <c r="W118" s="2"/>
      <c r="X118" s="2"/>
      <c r="Y118" s="2"/>
      <c r="Z118" s="2"/>
    </row>
    <row r="119" ht="15.75" customHeight="1">
      <c r="A119" s="1"/>
      <c r="B119" s="1"/>
      <c r="C119" s="1"/>
      <c r="D119" s="1"/>
      <c r="E119" s="1"/>
      <c r="F119" s="1"/>
      <c r="G119" s="2"/>
      <c r="H119" s="2"/>
      <c r="I119" s="2"/>
      <c r="J119" s="2"/>
      <c r="K119" s="2"/>
      <c r="L119" s="2"/>
      <c r="M119" s="2"/>
      <c r="N119" s="2"/>
      <c r="O119" s="2"/>
      <c r="P119" s="2"/>
      <c r="Q119" s="2"/>
      <c r="R119" s="2"/>
      <c r="S119" s="2"/>
      <c r="T119" s="2"/>
      <c r="U119" s="2"/>
      <c r="V119" s="2"/>
      <c r="W119" s="2"/>
      <c r="X119" s="2"/>
      <c r="Y119" s="2"/>
      <c r="Z119" s="2"/>
    </row>
    <row r="120" ht="15.75" customHeight="1">
      <c r="A120" s="1"/>
      <c r="B120" s="1"/>
      <c r="C120" s="1"/>
      <c r="D120" s="1"/>
      <c r="E120" s="1"/>
      <c r="F120" s="1"/>
      <c r="G120" s="2"/>
      <c r="H120" s="2"/>
      <c r="I120" s="2"/>
      <c r="J120" s="2"/>
      <c r="K120" s="2"/>
      <c r="L120" s="2"/>
      <c r="M120" s="2"/>
      <c r="N120" s="2"/>
      <c r="O120" s="2"/>
      <c r="P120" s="2"/>
      <c r="Q120" s="2"/>
      <c r="R120" s="2"/>
      <c r="S120" s="2"/>
      <c r="T120" s="2"/>
      <c r="U120" s="2"/>
      <c r="V120" s="2"/>
      <c r="W120" s="2"/>
      <c r="X120" s="2"/>
      <c r="Y120" s="2"/>
      <c r="Z120" s="2"/>
    </row>
    <row r="121" ht="15.75" customHeight="1">
      <c r="A121" s="1"/>
      <c r="B121" s="1"/>
      <c r="C121" s="1"/>
      <c r="D121" s="1"/>
      <c r="E121" s="1"/>
      <c r="F121" s="1"/>
      <c r="G121" s="2"/>
      <c r="H121" s="2"/>
      <c r="I121" s="2"/>
      <c r="J121" s="2"/>
      <c r="K121" s="2"/>
      <c r="L121" s="2"/>
      <c r="M121" s="2"/>
      <c r="N121" s="2"/>
      <c r="O121" s="2"/>
      <c r="P121" s="2"/>
      <c r="Q121" s="2"/>
      <c r="R121" s="2"/>
      <c r="S121" s="2"/>
      <c r="T121" s="2"/>
      <c r="U121" s="2"/>
      <c r="V121" s="2"/>
      <c r="W121" s="2"/>
      <c r="X121" s="2"/>
      <c r="Y121" s="2"/>
      <c r="Z121" s="2"/>
    </row>
    <row r="122" ht="15.75" customHeight="1">
      <c r="A122" s="1"/>
      <c r="B122" s="1"/>
      <c r="C122" s="1"/>
      <c r="D122" s="1"/>
      <c r="E122" s="1"/>
      <c r="F122" s="1"/>
      <c r="G122" s="2"/>
      <c r="H122" s="2"/>
      <c r="I122" s="2"/>
      <c r="J122" s="2"/>
      <c r="K122" s="2"/>
      <c r="L122" s="2"/>
      <c r="M122" s="2"/>
      <c r="N122" s="2"/>
      <c r="O122" s="2"/>
      <c r="P122" s="2"/>
      <c r="Q122" s="2"/>
      <c r="R122" s="2"/>
      <c r="S122" s="2"/>
      <c r="T122" s="2"/>
      <c r="U122" s="2"/>
      <c r="V122" s="2"/>
      <c r="W122" s="2"/>
      <c r="X122" s="2"/>
      <c r="Y122" s="2"/>
      <c r="Z122" s="2"/>
    </row>
    <row r="123" ht="15.75" customHeight="1">
      <c r="A123" s="1"/>
      <c r="B123" s="1"/>
      <c r="C123" s="1"/>
      <c r="D123" s="1"/>
      <c r="E123" s="1"/>
      <c r="F123" s="1"/>
      <c r="G123" s="2"/>
      <c r="H123" s="2"/>
      <c r="I123" s="2"/>
      <c r="J123" s="2"/>
      <c r="K123" s="2"/>
      <c r="L123" s="2"/>
      <c r="M123" s="2"/>
      <c r="N123" s="2"/>
      <c r="O123" s="2"/>
      <c r="P123" s="2"/>
      <c r="Q123" s="2"/>
      <c r="R123" s="2"/>
      <c r="S123" s="2"/>
      <c r="T123" s="2"/>
      <c r="U123" s="2"/>
      <c r="V123" s="2"/>
      <c r="W123" s="2"/>
      <c r="X123" s="2"/>
      <c r="Y123" s="2"/>
      <c r="Z123" s="2"/>
    </row>
    <row r="124" ht="15.75" customHeight="1">
      <c r="A124" s="1"/>
      <c r="B124" s="1"/>
      <c r="C124" s="1"/>
      <c r="D124" s="1"/>
      <c r="E124" s="1"/>
      <c r="F124" s="1"/>
      <c r="G124" s="2"/>
      <c r="H124" s="2"/>
      <c r="I124" s="2"/>
      <c r="J124" s="2"/>
      <c r="K124" s="2"/>
      <c r="L124" s="2"/>
      <c r="M124" s="2"/>
      <c r="N124" s="2"/>
      <c r="O124" s="2"/>
      <c r="P124" s="2"/>
      <c r="Q124" s="2"/>
      <c r="R124" s="2"/>
      <c r="S124" s="2"/>
      <c r="T124" s="2"/>
      <c r="U124" s="2"/>
      <c r="V124" s="2"/>
      <c r="W124" s="2"/>
      <c r="X124" s="2"/>
      <c r="Y124" s="2"/>
      <c r="Z124" s="2"/>
    </row>
    <row r="125" ht="15.75" customHeight="1">
      <c r="A125" s="1"/>
      <c r="B125" s="1"/>
      <c r="C125" s="1"/>
      <c r="D125" s="1"/>
      <c r="E125" s="1"/>
      <c r="F125" s="1"/>
      <c r="G125" s="2"/>
      <c r="H125" s="2"/>
      <c r="I125" s="2"/>
      <c r="J125" s="2"/>
      <c r="K125" s="2"/>
      <c r="L125" s="2"/>
      <c r="M125" s="2"/>
      <c r="N125" s="2"/>
      <c r="O125" s="2"/>
      <c r="P125" s="2"/>
      <c r="Q125" s="2"/>
      <c r="R125" s="2"/>
      <c r="S125" s="2"/>
      <c r="T125" s="2"/>
      <c r="U125" s="2"/>
      <c r="V125" s="2"/>
      <c r="W125" s="2"/>
      <c r="X125" s="2"/>
      <c r="Y125" s="2"/>
      <c r="Z125" s="2"/>
    </row>
    <row r="126" ht="15.75" customHeight="1">
      <c r="A126" s="1"/>
      <c r="B126" s="1"/>
      <c r="C126" s="1"/>
      <c r="D126" s="1"/>
      <c r="E126" s="1"/>
      <c r="F126" s="1"/>
      <c r="G126" s="2"/>
      <c r="H126" s="2"/>
      <c r="I126" s="2"/>
      <c r="J126" s="2"/>
      <c r="K126" s="2"/>
      <c r="L126" s="2"/>
      <c r="M126" s="2"/>
      <c r="N126" s="2"/>
      <c r="O126" s="2"/>
      <c r="P126" s="2"/>
      <c r="Q126" s="2"/>
      <c r="R126" s="2"/>
      <c r="S126" s="2"/>
      <c r="T126" s="2"/>
      <c r="U126" s="2"/>
      <c r="V126" s="2"/>
      <c r="W126" s="2"/>
      <c r="X126" s="2"/>
      <c r="Y126" s="2"/>
      <c r="Z126" s="2"/>
    </row>
    <row r="127" ht="15.75" customHeight="1">
      <c r="A127" s="1"/>
      <c r="B127" s="1"/>
      <c r="C127" s="1"/>
      <c r="D127" s="1"/>
      <c r="E127" s="1"/>
      <c r="F127" s="1"/>
      <c r="G127" s="2"/>
      <c r="H127" s="2"/>
      <c r="I127" s="2"/>
      <c r="J127" s="2"/>
      <c r="K127" s="2"/>
      <c r="L127" s="2"/>
      <c r="M127" s="2"/>
      <c r="N127" s="2"/>
      <c r="O127" s="2"/>
      <c r="P127" s="2"/>
      <c r="Q127" s="2"/>
      <c r="R127" s="2"/>
      <c r="S127" s="2"/>
      <c r="T127" s="2"/>
      <c r="U127" s="2"/>
      <c r="V127" s="2"/>
      <c r="W127" s="2"/>
      <c r="X127" s="2"/>
      <c r="Y127" s="2"/>
      <c r="Z127" s="2"/>
    </row>
    <row r="128" ht="15.75" customHeight="1">
      <c r="A128" s="1"/>
      <c r="B128" s="1"/>
      <c r="C128" s="1"/>
      <c r="D128" s="1"/>
      <c r="E128" s="1"/>
      <c r="F128" s="1"/>
      <c r="G128" s="2"/>
      <c r="H128" s="2"/>
      <c r="I128" s="2"/>
      <c r="J128" s="2"/>
      <c r="K128" s="2"/>
      <c r="L128" s="2"/>
      <c r="M128" s="2"/>
      <c r="N128" s="2"/>
      <c r="O128" s="2"/>
      <c r="P128" s="2"/>
      <c r="Q128" s="2"/>
      <c r="R128" s="2"/>
      <c r="S128" s="2"/>
      <c r="T128" s="2"/>
      <c r="U128" s="2"/>
      <c r="V128" s="2"/>
      <c r="W128" s="2"/>
      <c r="X128" s="2"/>
      <c r="Y128" s="2"/>
      <c r="Z128" s="2"/>
    </row>
    <row r="129" ht="15.75" customHeight="1">
      <c r="A129" s="1"/>
      <c r="B129" s="1"/>
      <c r="C129" s="1"/>
      <c r="D129" s="1"/>
      <c r="E129" s="1"/>
      <c r="F129" s="1"/>
      <c r="G129" s="2"/>
      <c r="H129" s="2"/>
      <c r="I129" s="2"/>
      <c r="J129" s="2"/>
      <c r="K129" s="2"/>
      <c r="L129" s="2"/>
      <c r="M129" s="2"/>
      <c r="N129" s="2"/>
      <c r="O129" s="2"/>
      <c r="P129" s="2"/>
      <c r="Q129" s="2"/>
      <c r="R129" s="2"/>
      <c r="S129" s="2"/>
      <c r="T129" s="2"/>
      <c r="U129" s="2"/>
      <c r="V129" s="2"/>
      <c r="W129" s="2"/>
      <c r="X129" s="2"/>
      <c r="Y129" s="2"/>
      <c r="Z129" s="2"/>
    </row>
    <row r="130" ht="15.75" customHeight="1">
      <c r="A130" s="1"/>
      <c r="B130" s="1"/>
      <c r="C130" s="1"/>
      <c r="D130" s="1"/>
      <c r="E130" s="1"/>
      <c r="F130" s="1"/>
      <c r="G130" s="2"/>
      <c r="H130" s="2"/>
      <c r="I130" s="2"/>
      <c r="J130" s="2"/>
      <c r="K130" s="2"/>
      <c r="L130" s="2"/>
      <c r="M130" s="2"/>
      <c r="N130" s="2"/>
      <c r="O130" s="2"/>
      <c r="P130" s="2"/>
      <c r="Q130" s="2"/>
      <c r="R130" s="2"/>
      <c r="S130" s="2"/>
      <c r="T130" s="2"/>
      <c r="U130" s="2"/>
      <c r="V130" s="2"/>
      <c r="W130" s="2"/>
      <c r="X130" s="2"/>
      <c r="Y130" s="2"/>
      <c r="Z130" s="2"/>
    </row>
    <row r="131" ht="15.75" customHeight="1">
      <c r="A131" s="1"/>
      <c r="B131" s="1"/>
      <c r="C131" s="1"/>
      <c r="D131" s="1"/>
      <c r="E131" s="1"/>
      <c r="F131" s="1"/>
      <c r="G131" s="2"/>
      <c r="H131" s="2"/>
      <c r="I131" s="2"/>
      <c r="J131" s="2"/>
      <c r="K131" s="2"/>
      <c r="L131" s="2"/>
      <c r="M131" s="2"/>
      <c r="N131" s="2"/>
      <c r="O131" s="2"/>
      <c r="P131" s="2"/>
      <c r="Q131" s="2"/>
      <c r="R131" s="2"/>
      <c r="S131" s="2"/>
      <c r="T131" s="2"/>
      <c r="U131" s="2"/>
      <c r="V131" s="2"/>
      <c r="W131" s="2"/>
      <c r="X131" s="2"/>
      <c r="Y131" s="2"/>
      <c r="Z131" s="2"/>
    </row>
    <row r="132" ht="15.75" customHeight="1">
      <c r="A132" s="1"/>
      <c r="B132" s="1"/>
      <c r="C132" s="1"/>
      <c r="D132" s="1"/>
      <c r="E132" s="1"/>
      <c r="F132" s="1"/>
      <c r="G132" s="2"/>
      <c r="H132" s="2"/>
      <c r="I132" s="2"/>
      <c r="J132" s="2"/>
      <c r="K132" s="2"/>
      <c r="L132" s="2"/>
      <c r="M132" s="2"/>
      <c r="N132" s="2"/>
      <c r="O132" s="2"/>
      <c r="P132" s="2"/>
      <c r="Q132" s="2"/>
      <c r="R132" s="2"/>
      <c r="S132" s="2"/>
      <c r="T132" s="2"/>
      <c r="U132" s="2"/>
      <c r="V132" s="2"/>
      <c r="W132" s="2"/>
      <c r="X132" s="2"/>
      <c r="Y132" s="2"/>
      <c r="Z132" s="2"/>
    </row>
    <row r="133" ht="15.75" customHeight="1">
      <c r="A133" s="1"/>
      <c r="B133" s="1"/>
      <c r="C133" s="1"/>
      <c r="D133" s="1"/>
      <c r="E133" s="1"/>
      <c r="F133" s="1"/>
      <c r="G133" s="2"/>
      <c r="H133" s="2"/>
      <c r="I133" s="2"/>
      <c r="J133" s="2"/>
      <c r="K133" s="2"/>
      <c r="L133" s="2"/>
      <c r="M133" s="2"/>
      <c r="N133" s="2"/>
      <c r="O133" s="2"/>
      <c r="P133" s="2"/>
      <c r="Q133" s="2"/>
      <c r="R133" s="2"/>
      <c r="S133" s="2"/>
      <c r="T133" s="2"/>
      <c r="U133" s="2"/>
      <c r="V133" s="2"/>
      <c r="W133" s="2"/>
      <c r="X133" s="2"/>
      <c r="Y133" s="2"/>
      <c r="Z133" s="2"/>
    </row>
    <row r="134" ht="15.75" customHeight="1">
      <c r="A134" s="1"/>
      <c r="B134" s="1"/>
      <c r="C134" s="1"/>
      <c r="D134" s="1"/>
      <c r="E134" s="1"/>
      <c r="F134" s="1"/>
      <c r="G134" s="2"/>
      <c r="H134" s="2"/>
      <c r="I134" s="2"/>
      <c r="J134" s="2"/>
      <c r="K134" s="2"/>
      <c r="L134" s="2"/>
      <c r="M134" s="2"/>
      <c r="N134" s="2"/>
      <c r="O134" s="2"/>
      <c r="P134" s="2"/>
      <c r="Q134" s="2"/>
      <c r="R134" s="2"/>
      <c r="S134" s="2"/>
      <c r="T134" s="2"/>
      <c r="U134" s="2"/>
      <c r="V134" s="2"/>
      <c r="W134" s="2"/>
      <c r="X134" s="2"/>
      <c r="Y134" s="2"/>
      <c r="Z134" s="2"/>
    </row>
    <row r="135" ht="15.75" customHeight="1">
      <c r="A135" s="1"/>
      <c r="B135" s="1"/>
      <c r="C135" s="1"/>
      <c r="D135" s="1"/>
      <c r="E135" s="1"/>
      <c r="F135" s="1"/>
      <c r="G135" s="2"/>
      <c r="H135" s="2"/>
      <c r="I135" s="2"/>
      <c r="J135" s="2"/>
      <c r="K135" s="2"/>
      <c r="L135" s="2"/>
      <c r="M135" s="2"/>
      <c r="N135" s="2"/>
      <c r="O135" s="2"/>
      <c r="P135" s="2"/>
      <c r="Q135" s="2"/>
      <c r="R135" s="2"/>
      <c r="S135" s="2"/>
      <c r="T135" s="2"/>
      <c r="U135" s="2"/>
      <c r="V135" s="2"/>
      <c r="W135" s="2"/>
      <c r="X135" s="2"/>
      <c r="Y135" s="2"/>
      <c r="Z135" s="2"/>
    </row>
    <row r="136" ht="15.75" customHeight="1">
      <c r="A136" s="1"/>
      <c r="B136" s="1"/>
      <c r="C136" s="1"/>
      <c r="D136" s="1"/>
      <c r="E136" s="1"/>
      <c r="F136" s="1"/>
      <c r="G136" s="2"/>
      <c r="H136" s="2"/>
      <c r="I136" s="2"/>
      <c r="J136" s="2"/>
      <c r="K136" s="2"/>
      <c r="L136" s="2"/>
      <c r="M136" s="2"/>
      <c r="N136" s="2"/>
      <c r="O136" s="2"/>
      <c r="P136" s="2"/>
      <c r="Q136" s="2"/>
      <c r="R136" s="2"/>
      <c r="S136" s="2"/>
      <c r="T136" s="2"/>
      <c r="U136" s="2"/>
      <c r="V136" s="2"/>
      <c r="W136" s="2"/>
      <c r="X136" s="2"/>
      <c r="Y136" s="2"/>
      <c r="Z136" s="2"/>
    </row>
    <row r="137" ht="15.75" customHeight="1">
      <c r="A137" s="1"/>
      <c r="B137" s="1"/>
      <c r="C137" s="1"/>
      <c r="D137" s="1"/>
      <c r="E137" s="1"/>
      <c r="F137" s="1"/>
      <c r="G137" s="2"/>
      <c r="H137" s="2"/>
      <c r="I137" s="2"/>
      <c r="J137" s="2"/>
      <c r="K137" s="2"/>
      <c r="L137" s="2"/>
      <c r="M137" s="2"/>
      <c r="N137" s="2"/>
      <c r="O137" s="2"/>
      <c r="P137" s="2"/>
      <c r="Q137" s="2"/>
      <c r="R137" s="2"/>
      <c r="S137" s="2"/>
      <c r="T137" s="2"/>
      <c r="U137" s="2"/>
      <c r="V137" s="2"/>
      <c r="W137" s="2"/>
      <c r="X137" s="2"/>
      <c r="Y137" s="2"/>
      <c r="Z137" s="2"/>
    </row>
    <row r="138" ht="15.75" customHeight="1">
      <c r="A138" s="1"/>
      <c r="B138" s="1"/>
      <c r="C138" s="1"/>
      <c r="D138" s="1"/>
      <c r="E138" s="1"/>
      <c r="F138" s="1"/>
      <c r="G138" s="2"/>
      <c r="H138" s="2"/>
      <c r="I138" s="2"/>
      <c r="J138" s="2"/>
      <c r="K138" s="2"/>
      <c r="L138" s="2"/>
      <c r="M138" s="2"/>
      <c r="N138" s="2"/>
      <c r="O138" s="2"/>
      <c r="P138" s="2"/>
      <c r="Q138" s="2"/>
      <c r="R138" s="2"/>
      <c r="S138" s="2"/>
      <c r="T138" s="2"/>
      <c r="U138" s="2"/>
      <c r="V138" s="2"/>
      <c r="W138" s="2"/>
      <c r="X138" s="2"/>
      <c r="Y138" s="2"/>
      <c r="Z138" s="2"/>
    </row>
    <row r="139" ht="15.75" customHeight="1">
      <c r="A139" s="1"/>
      <c r="B139" s="1"/>
      <c r="C139" s="1"/>
      <c r="D139" s="1"/>
      <c r="E139" s="1"/>
      <c r="F139" s="1"/>
      <c r="G139" s="2"/>
      <c r="H139" s="2"/>
      <c r="I139" s="2"/>
      <c r="J139" s="2"/>
      <c r="K139" s="2"/>
      <c r="L139" s="2"/>
      <c r="M139" s="2"/>
      <c r="N139" s="2"/>
      <c r="O139" s="2"/>
      <c r="P139" s="2"/>
      <c r="Q139" s="2"/>
      <c r="R139" s="2"/>
      <c r="S139" s="2"/>
      <c r="T139" s="2"/>
      <c r="U139" s="2"/>
      <c r="V139" s="2"/>
      <c r="W139" s="2"/>
      <c r="X139" s="2"/>
      <c r="Y139" s="2"/>
      <c r="Z139" s="2"/>
    </row>
    <row r="140" ht="15.75" customHeight="1">
      <c r="A140" s="1"/>
      <c r="B140" s="1"/>
      <c r="C140" s="1"/>
      <c r="D140" s="1"/>
      <c r="E140" s="1"/>
      <c r="F140" s="1"/>
      <c r="G140" s="2"/>
      <c r="H140" s="2"/>
      <c r="I140" s="2"/>
      <c r="J140" s="2"/>
      <c r="K140" s="2"/>
      <c r="L140" s="2"/>
      <c r="M140" s="2"/>
      <c r="N140" s="2"/>
      <c r="O140" s="2"/>
      <c r="P140" s="2"/>
      <c r="Q140" s="2"/>
      <c r="R140" s="2"/>
      <c r="S140" s="2"/>
      <c r="T140" s="2"/>
      <c r="U140" s="2"/>
      <c r="V140" s="2"/>
      <c r="W140" s="2"/>
      <c r="X140" s="2"/>
      <c r="Y140" s="2"/>
      <c r="Z140" s="2"/>
    </row>
    <row r="141" ht="15.75" customHeight="1">
      <c r="A141" s="1"/>
      <c r="B141" s="1"/>
      <c r="C141" s="1"/>
      <c r="D141" s="1"/>
      <c r="E141" s="1"/>
      <c r="F141" s="1"/>
      <c r="G141" s="2"/>
      <c r="H141" s="2"/>
      <c r="I141" s="2"/>
      <c r="J141" s="2"/>
      <c r="K141" s="2"/>
      <c r="L141" s="2"/>
      <c r="M141" s="2"/>
      <c r="N141" s="2"/>
      <c r="O141" s="2"/>
      <c r="P141" s="2"/>
      <c r="Q141" s="2"/>
      <c r="R141" s="2"/>
      <c r="S141" s="2"/>
      <c r="T141" s="2"/>
      <c r="U141" s="2"/>
      <c r="V141" s="2"/>
      <c r="W141" s="2"/>
      <c r="X141" s="2"/>
      <c r="Y141" s="2"/>
      <c r="Z141" s="2"/>
    </row>
    <row r="142" ht="15.75" customHeight="1">
      <c r="A142" s="1"/>
      <c r="B142" s="1"/>
      <c r="C142" s="1"/>
      <c r="D142" s="1"/>
      <c r="E142" s="1"/>
      <c r="F142" s="1"/>
      <c r="G142" s="2"/>
      <c r="H142" s="2"/>
      <c r="I142" s="2"/>
      <c r="J142" s="2"/>
      <c r="K142" s="2"/>
      <c r="L142" s="2"/>
      <c r="M142" s="2"/>
      <c r="N142" s="2"/>
      <c r="O142" s="2"/>
      <c r="P142" s="2"/>
      <c r="Q142" s="2"/>
      <c r="R142" s="2"/>
      <c r="S142" s="2"/>
      <c r="T142" s="2"/>
      <c r="U142" s="2"/>
      <c r="V142" s="2"/>
      <c r="W142" s="2"/>
      <c r="X142" s="2"/>
      <c r="Y142" s="2"/>
      <c r="Z142" s="2"/>
    </row>
    <row r="143" ht="15.75" customHeight="1">
      <c r="A143" s="1"/>
      <c r="B143" s="1"/>
      <c r="C143" s="1"/>
      <c r="D143" s="1"/>
      <c r="E143" s="1"/>
      <c r="F143" s="1"/>
      <c r="G143" s="2"/>
      <c r="H143" s="2"/>
      <c r="I143" s="2"/>
      <c r="J143" s="2"/>
      <c r="K143" s="2"/>
      <c r="L143" s="2"/>
      <c r="M143" s="2"/>
      <c r="N143" s="2"/>
      <c r="O143" s="2"/>
      <c r="P143" s="2"/>
      <c r="Q143" s="2"/>
      <c r="R143" s="2"/>
      <c r="S143" s="2"/>
      <c r="T143" s="2"/>
      <c r="U143" s="2"/>
      <c r="V143" s="2"/>
      <c r="W143" s="2"/>
      <c r="X143" s="2"/>
      <c r="Y143" s="2"/>
      <c r="Z143" s="2"/>
    </row>
    <row r="144" ht="15.75" customHeight="1">
      <c r="A144" s="1"/>
      <c r="B144" s="1"/>
      <c r="C144" s="1"/>
      <c r="D144" s="1"/>
      <c r="E144" s="1"/>
      <c r="F144" s="1"/>
      <c r="G144" s="2"/>
      <c r="H144" s="2"/>
      <c r="I144" s="2"/>
      <c r="J144" s="2"/>
      <c r="K144" s="2"/>
      <c r="L144" s="2"/>
      <c r="M144" s="2"/>
      <c r="N144" s="2"/>
      <c r="O144" s="2"/>
      <c r="P144" s="2"/>
      <c r="Q144" s="2"/>
      <c r="R144" s="2"/>
      <c r="S144" s="2"/>
      <c r="T144" s="2"/>
      <c r="U144" s="2"/>
      <c r="V144" s="2"/>
      <c r="W144" s="2"/>
      <c r="X144" s="2"/>
      <c r="Y144" s="2"/>
      <c r="Z144" s="2"/>
    </row>
    <row r="145" ht="15.75" customHeight="1">
      <c r="A145" s="1"/>
      <c r="B145" s="1"/>
      <c r="C145" s="1"/>
      <c r="D145" s="1"/>
      <c r="E145" s="1"/>
      <c r="F145" s="1"/>
      <c r="G145" s="2"/>
      <c r="H145" s="2"/>
      <c r="I145" s="2"/>
      <c r="J145" s="2"/>
      <c r="K145" s="2"/>
      <c r="L145" s="2"/>
      <c r="M145" s="2"/>
      <c r="N145" s="2"/>
      <c r="O145" s="2"/>
      <c r="P145" s="2"/>
      <c r="Q145" s="2"/>
      <c r="R145" s="2"/>
      <c r="S145" s="2"/>
      <c r="T145" s="2"/>
      <c r="U145" s="2"/>
      <c r="V145" s="2"/>
      <c r="W145" s="2"/>
      <c r="X145" s="2"/>
      <c r="Y145" s="2"/>
      <c r="Z145" s="2"/>
    </row>
    <row r="146" ht="15.75" customHeight="1">
      <c r="A146" s="1"/>
      <c r="B146" s="1"/>
      <c r="C146" s="1"/>
      <c r="D146" s="1"/>
      <c r="E146" s="1"/>
      <c r="F146" s="1"/>
      <c r="G146" s="2"/>
      <c r="H146" s="2"/>
      <c r="I146" s="2"/>
      <c r="J146" s="2"/>
      <c r="K146" s="2"/>
      <c r="L146" s="2"/>
      <c r="M146" s="2"/>
      <c r="N146" s="2"/>
      <c r="O146" s="2"/>
      <c r="P146" s="2"/>
      <c r="Q146" s="2"/>
      <c r="R146" s="2"/>
      <c r="S146" s="2"/>
      <c r="T146" s="2"/>
      <c r="U146" s="2"/>
      <c r="V146" s="2"/>
      <c r="W146" s="2"/>
      <c r="X146" s="2"/>
      <c r="Y146" s="2"/>
      <c r="Z146" s="2"/>
    </row>
    <row r="147" ht="15.75" customHeight="1">
      <c r="A147" s="1"/>
      <c r="B147" s="1"/>
      <c r="C147" s="1"/>
      <c r="D147" s="1"/>
      <c r="E147" s="1"/>
      <c r="F147" s="1"/>
      <c r="G147" s="2"/>
      <c r="H147" s="2"/>
      <c r="I147" s="2"/>
      <c r="J147" s="2"/>
      <c r="K147" s="2"/>
      <c r="L147" s="2"/>
      <c r="M147" s="2"/>
      <c r="N147" s="2"/>
      <c r="O147" s="2"/>
      <c r="P147" s="2"/>
      <c r="Q147" s="2"/>
      <c r="R147" s="2"/>
      <c r="S147" s="2"/>
      <c r="T147" s="2"/>
      <c r="U147" s="2"/>
      <c r="V147" s="2"/>
      <c r="W147" s="2"/>
      <c r="X147" s="2"/>
      <c r="Y147" s="2"/>
      <c r="Z147" s="2"/>
    </row>
    <row r="148" ht="15.75" customHeight="1">
      <c r="A148" s="1"/>
      <c r="B148" s="1"/>
      <c r="C148" s="1"/>
      <c r="D148" s="1"/>
      <c r="E148" s="1"/>
      <c r="F148" s="1"/>
      <c r="G148" s="2"/>
      <c r="H148" s="2"/>
      <c r="I148" s="2"/>
      <c r="J148" s="2"/>
      <c r="K148" s="2"/>
      <c r="L148" s="2"/>
      <c r="M148" s="2"/>
      <c r="N148" s="2"/>
      <c r="O148" s="2"/>
      <c r="P148" s="2"/>
      <c r="Q148" s="2"/>
      <c r="R148" s="2"/>
      <c r="S148" s="2"/>
      <c r="T148" s="2"/>
      <c r="U148" s="2"/>
      <c r="V148" s="2"/>
      <c r="W148" s="2"/>
      <c r="X148" s="2"/>
      <c r="Y148" s="2"/>
      <c r="Z148" s="2"/>
    </row>
    <row r="149" ht="15.75" customHeight="1">
      <c r="A149" s="1"/>
      <c r="B149" s="1"/>
      <c r="C149" s="1"/>
      <c r="D149" s="1"/>
      <c r="E149" s="1"/>
      <c r="F149" s="1"/>
      <c r="G149" s="2"/>
      <c r="H149" s="2"/>
      <c r="I149" s="2"/>
      <c r="J149" s="2"/>
      <c r="K149" s="2"/>
      <c r="L149" s="2"/>
      <c r="M149" s="2"/>
      <c r="N149" s="2"/>
      <c r="O149" s="2"/>
      <c r="P149" s="2"/>
      <c r="Q149" s="2"/>
      <c r="R149" s="2"/>
      <c r="S149" s="2"/>
      <c r="T149" s="2"/>
      <c r="U149" s="2"/>
      <c r="V149" s="2"/>
      <c r="W149" s="2"/>
      <c r="X149" s="2"/>
      <c r="Y149" s="2"/>
      <c r="Z149" s="2"/>
    </row>
    <row r="150" ht="15.75" customHeight="1">
      <c r="A150" s="1"/>
      <c r="B150" s="1"/>
      <c r="C150" s="1"/>
      <c r="D150" s="1"/>
      <c r="E150" s="1"/>
      <c r="F150" s="1"/>
      <c r="G150" s="2"/>
      <c r="H150" s="2"/>
      <c r="I150" s="2"/>
      <c r="J150" s="2"/>
      <c r="K150" s="2"/>
      <c r="L150" s="2"/>
      <c r="M150" s="2"/>
      <c r="N150" s="2"/>
      <c r="O150" s="2"/>
      <c r="P150" s="2"/>
      <c r="Q150" s="2"/>
      <c r="R150" s="2"/>
      <c r="S150" s="2"/>
      <c r="T150" s="2"/>
      <c r="U150" s="2"/>
      <c r="V150" s="2"/>
      <c r="W150" s="2"/>
      <c r="X150" s="2"/>
      <c r="Y150" s="2"/>
      <c r="Z150" s="2"/>
    </row>
    <row r="151" ht="15.75" customHeight="1">
      <c r="A151" s="1"/>
      <c r="B151" s="1"/>
      <c r="C151" s="1"/>
      <c r="D151" s="1"/>
      <c r="E151" s="1"/>
      <c r="F151" s="1"/>
      <c r="G151" s="2"/>
      <c r="H151" s="2"/>
      <c r="I151" s="2"/>
      <c r="J151" s="2"/>
      <c r="K151" s="2"/>
      <c r="L151" s="2"/>
      <c r="M151" s="2"/>
      <c r="N151" s="2"/>
      <c r="O151" s="2"/>
      <c r="P151" s="2"/>
      <c r="Q151" s="2"/>
      <c r="R151" s="2"/>
      <c r="S151" s="2"/>
      <c r="T151" s="2"/>
      <c r="U151" s="2"/>
      <c r="V151" s="2"/>
      <c r="W151" s="2"/>
      <c r="X151" s="2"/>
      <c r="Y151" s="2"/>
      <c r="Z151" s="2"/>
    </row>
    <row r="152" ht="15.75" customHeight="1">
      <c r="A152" s="1"/>
      <c r="B152" s="1"/>
      <c r="C152" s="1"/>
      <c r="D152" s="1"/>
      <c r="E152" s="1"/>
      <c r="F152" s="1"/>
      <c r="G152" s="2"/>
      <c r="H152" s="2"/>
      <c r="I152" s="2"/>
      <c r="J152" s="2"/>
      <c r="K152" s="2"/>
      <c r="L152" s="2"/>
      <c r="M152" s="2"/>
      <c r="N152" s="2"/>
      <c r="O152" s="2"/>
      <c r="P152" s="2"/>
      <c r="Q152" s="2"/>
      <c r="R152" s="2"/>
      <c r="S152" s="2"/>
      <c r="T152" s="2"/>
      <c r="U152" s="2"/>
      <c r="V152" s="2"/>
      <c r="W152" s="2"/>
      <c r="X152" s="2"/>
      <c r="Y152" s="2"/>
      <c r="Z152" s="2"/>
    </row>
    <row r="153" ht="15.75" customHeight="1">
      <c r="A153" s="1"/>
      <c r="B153" s="1"/>
      <c r="C153" s="1"/>
      <c r="D153" s="1"/>
      <c r="E153" s="1"/>
      <c r="F153" s="1"/>
      <c r="G153" s="2"/>
      <c r="H153" s="2"/>
      <c r="I153" s="2"/>
      <c r="J153" s="2"/>
      <c r="K153" s="2"/>
      <c r="L153" s="2"/>
      <c r="M153" s="2"/>
      <c r="N153" s="2"/>
      <c r="O153" s="2"/>
      <c r="P153" s="2"/>
      <c r="Q153" s="2"/>
      <c r="R153" s="2"/>
      <c r="S153" s="2"/>
      <c r="T153" s="2"/>
      <c r="U153" s="2"/>
      <c r="V153" s="2"/>
      <c r="W153" s="2"/>
      <c r="X153" s="2"/>
      <c r="Y153" s="2"/>
      <c r="Z153" s="2"/>
    </row>
    <row r="154" ht="15.75" customHeight="1">
      <c r="A154" s="1"/>
      <c r="B154" s="1"/>
      <c r="C154" s="1"/>
      <c r="D154" s="1"/>
      <c r="E154" s="1"/>
      <c r="F154" s="1"/>
      <c r="G154" s="2"/>
      <c r="H154" s="2"/>
      <c r="I154" s="2"/>
      <c r="J154" s="2"/>
      <c r="K154" s="2"/>
      <c r="L154" s="2"/>
      <c r="M154" s="2"/>
      <c r="N154" s="2"/>
      <c r="O154" s="2"/>
      <c r="P154" s="2"/>
      <c r="Q154" s="2"/>
      <c r="R154" s="2"/>
      <c r="S154" s="2"/>
      <c r="T154" s="2"/>
      <c r="U154" s="2"/>
      <c r="V154" s="2"/>
      <c r="W154" s="2"/>
      <c r="X154" s="2"/>
      <c r="Y154" s="2"/>
      <c r="Z154" s="2"/>
    </row>
    <row r="155" ht="15.75" customHeight="1">
      <c r="A155" s="1"/>
      <c r="B155" s="1"/>
      <c r="C155" s="1"/>
      <c r="D155" s="1"/>
      <c r="E155" s="1"/>
      <c r="F155" s="1"/>
      <c r="G155" s="2"/>
      <c r="H155" s="2"/>
      <c r="I155" s="2"/>
      <c r="J155" s="2"/>
      <c r="K155" s="2"/>
      <c r="L155" s="2"/>
      <c r="M155" s="2"/>
      <c r="N155" s="2"/>
      <c r="O155" s="2"/>
      <c r="P155" s="2"/>
      <c r="Q155" s="2"/>
      <c r="R155" s="2"/>
      <c r="S155" s="2"/>
      <c r="T155" s="2"/>
      <c r="U155" s="2"/>
      <c r="V155" s="2"/>
      <c r="W155" s="2"/>
      <c r="X155" s="2"/>
      <c r="Y155" s="2"/>
      <c r="Z155" s="2"/>
    </row>
    <row r="156" ht="15.75" customHeight="1">
      <c r="A156" s="1"/>
      <c r="B156" s="1"/>
      <c r="C156" s="1"/>
      <c r="D156" s="1"/>
      <c r="E156" s="1"/>
      <c r="F156" s="1"/>
      <c r="G156" s="2"/>
      <c r="H156" s="2"/>
      <c r="I156" s="2"/>
      <c r="J156" s="2"/>
      <c r="K156" s="2"/>
      <c r="L156" s="2"/>
      <c r="M156" s="2"/>
      <c r="N156" s="2"/>
      <c r="O156" s="2"/>
      <c r="P156" s="2"/>
      <c r="Q156" s="2"/>
      <c r="R156" s="2"/>
      <c r="S156" s="2"/>
      <c r="T156" s="2"/>
      <c r="U156" s="2"/>
      <c r="V156" s="2"/>
      <c r="W156" s="2"/>
      <c r="X156" s="2"/>
      <c r="Y156" s="2"/>
      <c r="Z156" s="2"/>
    </row>
    <row r="157" ht="15.75" customHeight="1">
      <c r="A157" s="1"/>
      <c r="B157" s="1"/>
      <c r="C157" s="1"/>
      <c r="D157" s="1"/>
      <c r="E157" s="1"/>
      <c r="F157" s="1"/>
      <c r="G157" s="2"/>
      <c r="H157" s="2"/>
      <c r="I157" s="2"/>
      <c r="J157" s="2"/>
      <c r="K157" s="2"/>
      <c r="L157" s="2"/>
      <c r="M157" s="2"/>
      <c r="N157" s="2"/>
      <c r="O157" s="2"/>
      <c r="P157" s="2"/>
      <c r="Q157" s="2"/>
      <c r="R157" s="2"/>
      <c r="S157" s="2"/>
      <c r="T157" s="2"/>
      <c r="U157" s="2"/>
      <c r="V157" s="2"/>
      <c r="W157" s="2"/>
      <c r="X157" s="2"/>
      <c r="Y157" s="2"/>
      <c r="Z157" s="2"/>
    </row>
    <row r="158" ht="15.75" customHeight="1">
      <c r="A158" s="1"/>
      <c r="B158" s="1"/>
      <c r="C158" s="1"/>
      <c r="D158" s="1"/>
      <c r="E158" s="1"/>
      <c r="F158" s="1"/>
      <c r="G158" s="2"/>
      <c r="H158" s="2"/>
      <c r="I158" s="2"/>
      <c r="J158" s="2"/>
      <c r="K158" s="2"/>
      <c r="L158" s="2"/>
      <c r="M158" s="2"/>
      <c r="N158" s="2"/>
      <c r="O158" s="2"/>
      <c r="P158" s="2"/>
      <c r="Q158" s="2"/>
      <c r="R158" s="2"/>
      <c r="S158" s="2"/>
      <c r="T158" s="2"/>
      <c r="U158" s="2"/>
      <c r="V158" s="2"/>
      <c r="W158" s="2"/>
      <c r="X158" s="2"/>
      <c r="Y158" s="2"/>
      <c r="Z158" s="2"/>
    </row>
    <row r="159" ht="15.75" customHeight="1">
      <c r="A159" s="1"/>
      <c r="B159" s="1"/>
      <c r="C159" s="1"/>
      <c r="D159" s="1"/>
      <c r="E159" s="1"/>
      <c r="F159" s="1"/>
      <c r="G159" s="2"/>
      <c r="H159" s="2"/>
      <c r="I159" s="2"/>
      <c r="J159" s="2"/>
      <c r="K159" s="2"/>
      <c r="L159" s="2"/>
      <c r="M159" s="2"/>
      <c r="N159" s="2"/>
      <c r="O159" s="2"/>
      <c r="P159" s="2"/>
      <c r="Q159" s="2"/>
      <c r="R159" s="2"/>
      <c r="S159" s="2"/>
      <c r="T159" s="2"/>
      <c r="U159" s="2"/>
      <c r="V159" s="2"/>
      <c r="W159" s="2"/>
      <c r="X159" s="2"/>
      <c r="Y159" s="2"/>
      <c r="Z159" s="2"/>
    </row>
    <row r="160" ht="15.75" customHeight="1">
      <c r="A160" s="1"/>
      <c r="B160" s="1"/>
      <c r="C160" s="1"/>
      <c r="D160" s="1"/>
      <c r="E160" s="1"/>
      <c r="F160" s="1"/>
      <c r="G160" s="2"/>
      <c r="H160" s="2"/>
      <c r="I160" s="2"/>
      <c r="J160" s="2"/>
      <c r="K160" s="2"/>
      <c r="L160" s="2"/>
      <c r="M160" s="2"/>
      <c r="N160" s="2"/>
      <c r="O160" s="2"/>
      <c r="P160" s="2"/>
      <c r="Q160" s="2"/>
      <c r="R160" s="2"/>
      <c r="S160" s="2"/>
      <c r="T160" s="2"/>
      <c r="U160" s="2"/>
      <c r="V160" s="2"/>
      <c r="W160" s="2"/>
      <c r="X160" s="2"/>
      <c r="Y160" s="2"/>
      <c r="Z160" s="2"/>
    </row>
    <row r="161" ht="15.75" customHeight="1">
      <c r="A161" s="1"/>
      <c r="B161" s="1"/>
      <c r="C161" s="1"/>
      <c r="D161" s="1"/>
      <c r="E161" s="1"/>
      <c r="F161" s="1"/>
      <c r="G161" s="2"/>
      <c r="H161" s="2"/>
      <c r="I161" s="2"/>
      <c r="J161" s="2"/>
      <c r="K161" s="2"/>
      <c r="L161" s="2"/>
      <c r="M161" s="2"/>
      <c r="N161" s="2"/>
      <c r="O161" s="2"/>
      <c r="P161" s="2"/>
      <c r="Q161" s="2"/>
      <c r="R161" s="2"/>
      <c r="S161" s="2"/>
      <c r="T161" s="2"/>
      <c r="U161" s="2"/>
      <c r="V161" s="2"/>
      <c r="W161" s="2"/>
      <c r="X161" s="2"/>
      <c r="Y161" s="2"/>
      <c r="Z161" s="2"/>
    </row>
    <row r="162" ht="15.75" customHeight="1">
      <c r="A162" s="1"/>
      <c r="B162" s="1"/>
      <c r="C162" s="1"/>
      <c r="D162" s="1"/>
      <c r="E162" s="1"/>
      <c r="F162" s="1"/>
      <c r="G162" s="2"/>
      <c r="H162" s="2"/>
      <c r="I162" s="2"/>
      <c r="J162" s="2"/>
      <c r="K162" s="2"/>
      <c r="L162" s="2"/>
      <c r="M162" s="2"/>
      <c r="N162" s="2"/>
      <c r="O162" s="2"/>
      <c r="P162" s="2"/>
      <c r="Q162" s="2"/>
      <c r="R162" s="2"/>
      <c r="S162" s="2"/>
      <c r="T162" s="2"/>
      <c r="U162" s="2"/>
      <c r="V162" s="2"/>
      <c r="W162" s="2"/>
      <c r="X162" s="2"/>
      <c r="Y162" s="2"/>
      <c r="Z162" s="2"/>
    </row>
    <row r="163" ht="15.75" customHeight="1">
      <c r="A163" s="1"/>
      <c r="B163" s="1"/>
      <c r="C163" s="1"/>
      <c r="D163" s="1"/>
      <c r="E163" s="1"/>
      <c r="F163" s="1"/>
      <c r="G163" s="2"/>
      <c r="H163" s="2"/>
      <c r="I163" s="2"/>
      <c r="J163" s="2"/>
      <c r="K163" s="2"/>
      <c r="L163" s="2"/>
      <c r="M163" s="2"/>
      <c r="N163" s="2"/>
      <c r="O163" s="2"/>
      <c r="P163" s="2"/>
      <c r="Q163" s="2"/>
      <c r="R163" s="2"/>
      <c r="S163" s="2"/>
      <c r="T163" s="2"/>
      <c r="U163" s="2"/>
      <c r="V163" s="2"/>
      <c r="W163" s="2"/>
      <c r="X163" s="2"/>
      <c r="Y163" s="2"/>
      <c r="Z163" s="2"/>
    </row>
    <row r="164" ht="15.75" customHeight="1">
      <c r="A164" s="1"/>
      <c r="B164" s="1"/>
      <c r="C164" s="1"/>
      <c r="D164" s="1"/>
      <c r="E164" s="1"/>
      <c r="F164" s="1"/>
      <c r="G164" s="2"/>
      <c r="H164" s="2"/>
      <c r="I164" s="2"/>
      <c r="J164" s="2"/>
      <c r="K164" s="2"/>
      <c r="L164" s="2"/>
      <c r="M164" s="2"/>
      <c r="N164" s="2"/>
      <c r="O164" s="2"/>
      <c r="P164" s="2"/>
      <c r="Q164" s="2"/>
      <c r="R164" s="2"/>
      <c r="S164" s="2"/>
      <c r="T164" s="2"/>
      <c r="U164" s="2"/>
      <c r="V164" s="2"/>
      <c r="W164" s="2"/>
      <c r="X164" s="2"/>
      <c r="Y164" s="2"/>
      <c r="Z164" s="2"/>
    </row>
    <row r="165" ht="15.75" customHeight="1">
      <c r="A165" s="1"/>
      <c r="B165" s="1"/>
      <c r="C165" s="1"/>
      <c r="D165" s="1"/>
      <c r="E165" s="1"/>
      <c r="F165" s="1"/>
      <c r="G165" s="2"/>
      <c r="H165" s="2"/>
      <c r="I165" s="2"/>
      <c r="J165" s="2"/>
      <c r="K165" s="2"/>
      <c r="L165" s="2"/>
      <c r="M165" s="2"/>
      <c r="N165" s="2"/>
      <c r="O165" s="2"/>
      <c r="P165" s="2"/>
      <c r="Q165" s="2"/>
      <c r="R165" s="2"/>
      <c r="S165" s="2"/>
      <c r="T165" s="2"/>
      <c r="U165" s="2"/>
      <c r="V165" s="2"/>
      <c r="W165" s="2"/>
      <c r="X165" s="2"/>
      <c r="Y165" s="2"/>
      <c r="Z165" s="2"/>
    </row>
    <row r="166" ht="15.75" customHeight="1">
      <c r="A166" s="1"/>
      <c r="B166" s="1"/>
      <c r="C166" s="1"/>
      <c r="D166" s="1"/>
      <c r="E166" s="1"/>
      <c r="F166" s="1"/>
      <c r="G166" s="2"/>
      <c r="H166" s="2"/>
      <c r="I166" s="2"/>
      <c r="J166" s="2"/>
      <c r="K166" s="2"/>
      <c r="L166" s="2"/>
      <c r="M166" s="2"/>
      <c r="N166" s="2"/>
      <c r="O166" s="2"/>
      <c r="P166" s="2"/>
      <c r="Q166" s="2"/>
      <c r="R166" s="2"/>
      <c r="S166" s="2"/>
      <c r="T166" s="2"/>
      <c r="U166" s="2"/>
      <c r="V166" s="2"/>
      <c r="W166" s="2"/>
      <c r="X166" s="2"/>
      <c r="Y166" s="2"/>
      <c r="Z166" s="2"/>
    </row>
    <row r="167" ht="15.75" customHeight="1">
      <c r="A167" s="1"/>
      <c r="B167" s="1"/>
      <c r="C167" s="1"/>
      <c r="D167" s="1"/>
      <c r="E167" s="1"/>
      <c r="F167" s="1"/>
      <c r="G167" s="2"/>
      <c r="H167" s="2"/>
      <c r="I167" s="2"/>
      <c r="J167" s="2"/>
      <c r="K167" s="2"/>
      <c r="L167" s="2"/>
      <c r="M167" s="2"/>
      <c r="N167" s="2"/>
      <c r="O167" s="2"/>
      <c r="P167" s="2"/>
      <c r="Q167" s="2"/>
      <c r="R167" s="2"/>
      <c r="S167" s="2"/>
      <c r="T167" s="2"/>
      <c r="U167" s="2"/>
      <c r="V167" s="2"/>
      <c r="W167" s="2"/>
      <c r="X167" s="2"/>
      <c r="Y167" s="2"/>
      <c r="Z167" s="2"/>
    </row>
    <row r="168" ht="15.75" customHeight="1">
      <c r="A168" s="1"/>
      <c r="B168" s="1"/>
      <c r="C168" s="1"/>
      <c r="D168" s="1"/>
      <c r="E168" s="1"/>
      <c r="F168" s="1"/>
      <c r="G168" s="2"/>
      <c r="H168" s="2"/>
      <c r="I168" s="2"/>
      <c r="J168" s="2"/>
      <c r="K168" s="2"/>
      <c r="L168" s="2"/>
      <c r="M168" s="2"/>
      <c r="N168" s="2"/>
      <c r="O168" s="2"/>
      <c r="P168" s="2"/>
      <c r="Q168" s="2"/>
      <c r="R168" s="2"/>
      <c r="S168" s="2"/>
      <c r="T168" s="2"/>
      <c r="U168" s="2"/>
      <c r="V168" s="2"/>
      <c r="W168" s="2"/>
      <c r="X168" s="2"/>
      <c r="Y168" s="2"/>
      <c r="Z168" s="2"/>
    </row>
    <row r="169" ht="15.75" customHeight="1">
      <c r="A169" s="1"/>
      <c r="B169" s="1"/>
      <c r="C169" s="1"/>
      <c r="D169" s="1"/>
      <c r="E169" s="1"/>
      <c r="F169" s="1"/>
      <c r="G169" s="2"/>
      <c r="H169" s="2"/>
      <c r="I169" s="2"/>
      <c r="J169" s="2"/>
      <c r="K169" s="2"/>
      <c r="L169" s="2"/>
      <c r="M169" s="2"/>
      <c r="N169" s="2"/>
      <c r="O169" s="2"/>
      <c r="P169" s="2"/>
      <c r="Q169" s="2"/>
      <c r="R169" s="2"/>
      <c r="S169" s="2"/>
      <c r="T169" s="2"/>
      <c r="U169" s="2"/>
      <c r="V169" s="2"/>
      <c r="W169" s="2"/>
      <c r="X169" s="2"/>
      <c r="Y169" s="2"/>
      <c r="Z169" s="2"/>
    </row>
    <row r="170" ht="15.75" customHeight="1">
      <c r="A170" s="1"/>
      <c r="B170" s="1"/>
      <c r="C170" s="1"/>
      <c r="D170" s="1"/>
      <c r="E170" s="1"/>
      <c r="F170" s="1"/>
      <c r="G170" s="2"/>
      <c r="H170" s="2"/>
      <c r="I170" s="2"/>
      <c r="J170" s="2"/>
      <c r="K170" s="2"/>
      <c r="L170" s="2"/>
      <c r="M170" s="2"/>
      <c r="N170" s="2"/>
      <c r="O170" s="2"/>
      <c r="P170" s="2"/>
      <c r="Q170" s="2"/>
      <c r="R170" s="2"/>
      <c r="S170" s="2"/>
      <c r="T170" s="2"/>
      <c r="U170" s="2"/>
      <c r="V170" s="2"/>
      <c r="W170" s="2"/>
      <c r="X170" s="2"/>
      <c r="Y170" s="2"/>
      <c r="Z170" s="2"/>
    </row>
    <row r="171" ht="15.75" customHeight="1">
      <c r="A171" s="1"/>
      <c r="B171" s="1"/>
      <c r="C171" s="1"/>
      <c r="D171" s="1"/>
      <c r="E171" s="1"/>
      <c r="F171" s="1"/>
      <c r="G171" s="2"/>
      <c r="H171" s="2"/>
      <c r="I171" s="2"/>
      <c r="J171" s="2"/>
      <c r="K171" s="2"/>
      <c r="L171" s="2"/>
      <c r="M171" s="2"/>
      <c r="N171" s="2"/>
      <c r="O171" s="2"/>
      <c r="P171" s="2"/>
      <c r="Q171" s="2"/>
      <c r="R171" s="2"/>
      <c r="S171" s="2"/>
      <c r="T171" s="2"/>
      <c r="U171" s="2"/>
      <c r="V171" s="2"/>
      <c r="W171" s="2"/>
      <c r="X171" s="2"/>
      <c r="Y171" s="2"/>
      <c r="Z171" s="2"/>
    </row>
    <row r="172" ht="15.75" customHeight="1">
      <c r="A172" s="1"/>
      <c r="B172" s="1"/>
      <c r="C172" s="1"/>
      <c r="D172" s="1"/>
      <c r="E172" s="1"/>
      <c r="F172" s="1"/>
      <c r="G172" s="2"/>
      <c r="H172" s="2"/>
      <c r="I172" s="2"/>
      <c r="J172" s="2"/>
      <c r="K172" s="2"/>
      <c r="L172" s="2"/>
      <c r="M172" s="2"/>
      <c r="N172" s="2"/>
      <c r="O172" s="2"/>
      <c r="P172" s="2"/>
      <c r="Q172" s="2"/>
      <c r="R172" s="2"/>
      <c r="S172" s="2"/>
      <c r="T172" s="2"/>
      <c r="U172" s="2"/>
      <c r="V172" s="2"/>
      <c r="W172" s="2"/>
      <c r="X172" s="2"/>
      <c r="Y172" s="2"/>
      <c r="Z172" s="2"/>
    </row>
    <row r="173" ht="15.75" customHeight="1">
      <c r="A173" s="1"/>
      <c r="B173" s="1"/>
      <c r="C173" s="1"/>
      <c r="D173" s="1"/>
      <c r="E173" s="1"/>
      <c r="F173" s="1"/>
      <c r="G173" s="2"/>
      <c r="H173" s="2"/>
      <c r="I173" s="2"/>
      <c r="J173" s="2"/>
      <c r="K173" s="2"/>
      <c r="L173" s="2"/>
      <c r="M173" s="2"/>
      <c r="N173" s="2"/>
      <c r="O173" s="2"/>
      <c r="P173" s="2"/>
      <c r="Q173" s="2"/>
      <c r="R173" s="2"/>
      <c r="S173" s="2"/>
      <c r="T173" s="2"/>
      <c r="U173" s="2"/>
      <c r="V173" s="2"/>
      <c r="W173" s="2"/>
      <c r="X173" s="2"/>
      <c r="Y173" s="2"/>
      <c r="Z173" s="2"/>
    </row>
    <row r="174" ht="15.75" customHeight="1">
      <c r="A174" s="1"/>
      <c r="B174" s="1"/>
      <c r="C174" s="1"/>
      <c r="D174" s="1"/>
      <c r="E174" s="1"/>
      <c r="F174" s="1"/>
      <c r="G174" s="2"/>
      <c r="H174" s="2"/>
      <c r="I174" s="2"/>
      <c r="J174" s="2"/>
      <c r="K174" s="2"/>
      <c r="L174" s="2"/>
      <c r="M174" s="2"/>
      <c r="N174" s="2"/>
      <c r="O174" s="2"/>
      <c r="P174" s="2"/>
      <c r="Q174" s="2"/>
      <c r="R174" s="2"/>
      <c r="S174" s="2"/>
      <c r="T174" s="2"/>
      <c r="U174" s="2"/>
      <c r="V174" s="2"/>
      <c r="W174" s="2"/>
      <c r="X174" s="2"/>
      <c r="Y174" s="2"/>
      <c r="Z174" s="2"/>
    </row>
    <row r="175" ht="15.75" customHeight="1">
      <c r="A175" s="1"/>
      <c r="B175" s="1"/>
      <c r="C175" s="1"/>
      <c r="D175" s="1"/>
      <c r="E175" s="1"/>
      <c r="F175" s="1"/>
      <c r="G175" s="2"/>
      <c r="H175" s="2"/>
      <c r="I175" s="2"/>
      <c r="J175" s="2"/>
      <c r="K175" s="2"/>
      <c r="L175" s="2"/>
      <c r="M175" s="2"/>
      <c r="N175" s="2"/>
      <c r="O175" s="2"/>
      <c r="P175" s="2"/>
      <c r="Q175" s="2"/>
      <c r="R175" s="2"/>
      <c r="S175" s="2"/>
      <c r="T175" s="2"/>
      <c r="U175" s="2"/>
      <c r="V175" s="2"/>
      <c r="W175" s="2"/>
      <c r="X175" s="2"/>
      <c r="Y175" s="2"/>
      <c r="Z175" s="2"/>
    </row>
    <row r="176" ht="15.75" customHeight="1">
      <c r="A176" s="1"/>
      <c r="B176" s="1"/>
      <c r="C176" s="1"/>
      <c r="D176" s="1"/>
      <c r="E176" s="1"/>
      <c r="F176" s="1"/>
      <c r="G176" s="2"/>
      <c r="H176" s="2"/>
      <c r="I176" s="2"/>
      <c r="J176" s="2"/>
      <c r="K176" s="2"/>
      <c r="L176" s="2"/>
      <c r="M176" s="2"/>
      <c r="N176" s="2"/>
      <c r="O176" s="2"/>
      <c r="P176" s="2"/>
      <c r="Q176" s="2"/>
      <c r="R176" s="2"/>
      <c r="S176" s="2"/>
      <c r="T176" s="2"/>
      <c r="U176" s="2"/>
      <c r="V176" s="2"/>
      <c r="W176" s="2"/>
      <c r="X176" s="2"/>
      <c r="Y176" s="2"/>
      <c r="Z176" s="2"/>
    </row>
    <row r="177" ht="15.75" customHeight="1">
      <c r="A177" s="1"/>
      <c r="B177" s="1"/>
      <c r="C177" s="1"/>
      <c r="D177" s="1"/>
      <c r="E177" s="1"/>
      <c r="F177" s="1"/>
      <c r="G177" s="2"/>
      <c r="H177" s="2"/>
      <c r="I177" s="2"/>
      <c r="J177" s="2"/>
      <c r="K177" s="2"/>
      <c r="L177" s="2"/>
      <c r="M177" s="2"/>
      <c r="N177" s="2"/>
      <c r="O177" s="2"/>
      <c r="P177" s="2"/>
      <c r="Q177" s="2"/>
      <c r="R177" s="2"/>
      <c r="S177" s="2"/>
      <c r="T177" s="2"/>
      <c r="U177" s="2"/>
      <c r="V177" s="2"/>
      <c r="W177" s="2"/>
      <c r="X177" s="2"/>
      <c r="Y177" s="2"/>
      <c r="Z177" s="2"/>
    </row>
    <row r="178" ht="15.75" customHeight="1">
      <c r="A178" s="1"/>
      <c r="B178" s="1"/>
      <c r="C178" s="1"/>
      <c r="D178" s="1"/>
      <c r="E178" s="1"/>
      <c r="F178" s="1"/>
      <c r="G178" s="2"/>
      <c r="H178" s="2"/>
      <c r="I178" s="2"/>
      <c r="J178" s="2"/>
      <c r="K178" s="2"/>
      <c r="L178" s="2"/>
      <c r="M178" s="2"/>
      <c r="N178" s="2"/>
      <c r="O178" s="2"/>
      <c r="P178" s="2"/>
      <c r="Q178" s="2"/>
      <c r="R178" s="2"/>
      <c r="S178" s="2"/>
      <c r="T178" s="2"/>
      <c r="U178" s="2"/>
      <c r="V178" s="2"/>
      <c r="W178" s="2"/>
      <c r="X178" s="2"/>
      <c r="Y178" s="2"/>
      <c r="Z178" s="2"/>
    </row>
    <row r="179" ht="15.75" customHeight="1">
      <c r="A179" s="1"/>
      <c r="B179" s="1"/>
      <c r="C179" s="1"/>
      <c r="D179" s="1"/>
      <c r="E179" s="1"/>
      <c r="F179" s="1"/>
      <c r="G179" s="2"/>
      <c r="H179" s="2"/>
      <c r="I179" s="2"/>
      <c r="J179" s="2"/>
      <c r="K179" s="2"/>
      <c r="L179" s="2"/>
      <c r="M179" s="2"/>
      <c r="N179" s="2"/>
      <c r="O179" s="2"/>
      <c r="P179" s="2"/>
      <c r="Q179" s="2"/>
      <c r="R179" s="2"/>
      <c r="S179" s="2"/>
      <c r="T179" s="2"/>
      <c r="U179" s="2"/>
      <c r="V179" s="2"/>
      <c r="W179" s="2"/>
      <c r="X179" s="2"/>
      <c r="Y179" s="2"/>
      <c r="Z179" s="2"/>
    </row>
    <row r="180" ht="15.75" customHeight="1">
      <c r="A180" s="1"/>
      <c r="B180" s="1"/>
      <c r="C180" s="1"/>
      <c r="D180" s="1"/>
      <c r="E180" s="1"/>
      <c r="F180" s="1"/>
      <c r="G180" s="2"/>
      <c r="H180" s="2"/>
      <c r="I180" s="2"/>
      <c r="J180" s="2"/>
      <c r="K180" s="2"/>
      <c r="L180" s="2"/>
      <c r="M180" s="2"/>
      <c r="N180" s="2"/>
      <c r="O180" s="2"/>
      <c r="P180" s="2"/>
      <c r="Q180" s="2"/>
      <c r="R180" s="2"/>
      <c r="S180" s="2"/>
      <c r="T180" s="2"/>
      <c r="U180" s="2"/>
      <c r="V180" s="2"/>
      <c r="W180" s="2"/>
      <c r="X180" s="2"/>
      <c r="Y180" s="2"/>
      <c r="Z180" s="2"/>
    </row>
    <row r="181" ht="15.75" customHeight="1">
      <c r="A181" s="1"/>
      <c r="B181" s="1"/>
      <c r="C181" s="1"/>
      <c r="D181" s="1"/>
      <c r="E181" s="1"/>
      <c r="F181" s="1"/>
      <c r="G181" s="2"/>
      <c r="H181" s="2"/>
      <c r="I181" s="2"/>
      <c r="J181" s="2"/>
      <c r="K181" s="2"/>
      <c r="L181" s="2"/>
      <c r="M181" s="2"/>
      <c r="N181" s="2"/>
      <c r="O181" s="2"/>
      <c r="P181" s="2"/>
      <c r="Q181" s="2"/>
      <c r="R181" s="2"/>
      <c r="S181" s="2"/>
      <c r="T181" s="2"/>
      <c r="U181" s="2"/>
      <c r="V181" s="2"/>
      <c r="W181" s="2"/>
      <c r="X181" s="2"/>
      <c r="Y181" s="2"/>
      <c r="Z181" s="2"/>
    </row>
    <row r="182" ht="15.75" customHeight="1">
      <c r="A182" s="1"/>
      <c r="B182" s="1"/>
      <c r="C182" s="1"/>
      <c r="D182" s="1"/>
      <c r="E182" s="1"/>
      <c r="F182" s="1"/>
      <c r="G182" s="2"/>
      <c r="H182" s="2"/>
      <c r="I182" s="2"/>
      <c r="J182" s="2"/>
      <c r="K182" s="2"/>
      <c r="L182" s="2"/>
      <c r="M182" s="2"/>
      <c r="N182" s="2"/>
      <c r="O182" s="2"/>
      <c r="P182" s="2"/>
      <c r="Q182" s="2"/>
      <c r="R182" s="2"/>
      <c r="S182" s="2"/>
      <c r="T182" s="2"/>
      <c r="U182" s="2"/>
      <c r="V182" s="2"/>
      <c r="W182" s="2"/>
      <c r="X182" s="2"/>
      <c r="Y182" s="2"/>
      <c r="Z182" s="2"/>
    </row>
    <row r="183" ht="15.75" customHeight="1">
      <c r="A183" s="1"/>
      <c r="B183" s="1"/>
      <c r="C183" s="1"/>
      <c r="D183" s="1"/>
      <c r="E183" s="1"/>
      <c r="F183" s="1"/>
      <c r="G183" s="2"/>
      <c r="H183" s="2"/>
      <c r="I183" s="2"/>
      <c r="J183" s="2"/>
      <c r="K183" s="2"/>
      <c r="L183" s="2"/>
      <c r="M183" s="2"/>
      <c r="N183" s="2"/>
      <c r="O183" s="2"/>
      <c r="P183" s="2"/>
      <c r="Q183" s="2"/>
      <c r="R183" s="2"/>
      <c r="S183" s="2"/>
      <c r="T183" s="2"/>
      <c r="U183" s="2"/>
      <c r="V183" s="2"/>
      <c r="W183" s="2"/>
      <c r="X183" s="2"/>
      <c r="Y183" s="2"/>
      <c r="Z183" s="2"/>
    </row>
    <row r="184" ht="15.75" customHeight="1">
      <c r="A184" s="1"/>
      <c r="B184" s="1"/>
      <c r="C184" s="1"/>
      <c r="D184" s="1"/>
      <c r="E184" s="1"/>
      <c r="F184" s="1"/>
      <c r="G184" s="2"/>
      <c r="H184" s="2"/>
      <c r="I184" s="2"/>
      <c r="J184" s="2"/>
      <c r="K184" s="2"/>
      <c r="L184" s="2"/>
      <c r="M184" s="2"/>
      <c r="N184" s="2"/>
      <c r="O184" s="2"/>
      <c r="P184" s="2"/>
      <c r="Q184" s="2"/>
      <c r="R184" s="2"/>
      <c r="S184" s="2"/>
      <c r="T184" s="2"/>
      <c r="U184" s="2"/>
      <c r="V184" s="2"/>
      <c r="W184" s="2"/>
      <c r="X184" s="2"/>
      <c r="Y184" s="2"/>
      <c r="Z184" s="2"/>
    </row>
    <row r="185" ht="15.75" customHeight="1">
      <c r="A185" s="1"/>
      <c r="B185" s="1"/>
      <c r="C185" s="1"/>
      <c r="D185" s="1"/>
      <c r="E185" s="1"/>
      <c r="F185" s="1"/>
      <c r="G185" s="2"/>
      <c r="H185" s="2"/>
      <c r="I185" s="2"/>
      <c r="J185" s="2"/>
      <c r="K185" s="2"/>
      <c r="L185" s="2"/>
      <c r="M185" s="2"/>
      <c r="N185" s="2"/>
      <c r="O185" s="2"/>
      <c r="P185" s="2"/>
      <c r="Q185" s="2"/>
      <c r="R185" s="2"/>
      <c r="S185" s="2"/>
      <c r="T185" s="2"/>
      <c r="U185" s="2"/>
      <c r="V185" s="2"/>
      <c r="W185" s="2"/>
      <c r="X185" s="2"/>
      <c r="Y185" s="2"/>
      <c r="Z185" s="2"/>
    </row>
    <row r="186" ht="15.75" customHeight="1">
      <c r="A186" s="1"/>
      <c r="B186" s="1"/>
      <c r="C186" s="1"/>
      <c r="D186" s="1"/>
      <c r="E186" s="1"/>
      <c r="F186" s="1"/>
      <c r="G186" s="2"/>
      <c r="H186" s="2"/>
      <c r="I186" s="2"/>
      <c r="J186" s="2"/>
      <c r="K186" s="2"/>
      <c r="L186" s="2"/>
      <c r="M186" s="2"/>
      <c r="N186" s="2"/>
      <c r="O186" s="2"/>
      <c r="P186" s="2"/>
      <c r="Q186" s="2"/>
      <c r="R186" s="2"/>
      <c r="S186" s="2"/>
      <c r="T186" s="2"/>
      <c r="U186" s="2"/>
      <c r="V186" s="2"/>
      <c r="W186" s="2"/>
      <c r="X186" s="2"/>
      <c r="Y186" s="2"/>
      <c r="Z186" s="2"/>
    </row>
    <row r="187" ht="15.75" customHeight="1">
      <c r="A187" s="1"/>
      <c r="B187" s="1"/>
      <c r="C187" s="1"/>
      <c r="D187" s="1"/>
      <c r="E187" s="1"/>
      <c r="F187" s="1"/>
      <c r="G187" s="2"/>
      <c r="H187" s="2"/>
      <c r="I187" s="2"/>
      <c r="J187" s="2"/>
      <c r="K187" s="2"/>
      <c r="L187" s="2"/>
      <c r="M187" s="2"/>
      <c r="N187" s="2"/>
      <c r="O187" s="2"/>
      <c r="P187" s="2"/>
      <c r="Q187" s="2"/>
      <c r="R187" s="2"/>
      <c r="S187" s="2"/>
      <c r="T187" s="2"/>
      <c r="U187" s="2"/>
      <c r="V187" s="2"/>
      <c r="W187" s="2"/>
      <c r="X187" s="2"/>
      <c r="Y187" s="2"/>
      <c r="Z187" s="2"/>
    </row>
    <row r="188" ht="15.75" customHeight="1">
      <c r="A188" s="1"/>
      <c r="B188" s="1"/>
      <c r="C188" s="1"/>
      <c r="D188" s="1"/>
      <c r="E188" s="1"/>
      <c r="F188" s="1"/>
      <c r="G188" s="2"/>
      <c r="H188" s="2"/>
      <c r="I188" s="2"/>
      <c r="J188" s="2"/>
      <c r="K188" s="2"/>
      <c r="L188" s="2"/>
      <c r="M188" s="2"/>
      <c r="N188" s="2"/>
      <c r="O188" s="2"/>
      <c r="P188" s="2"/>
      <c r="Q188" s="2"/>
      <c r="R188" s="2"/>
      <c r="S188" s="2"/>
      <c r="T188" s="2"/>
      <c r="U188" s="2"/>
      <c r="V188" s="2"/>
      <c r="W188" s="2"/>
      <c r="X188" s="2"/>
      <c r="Y188" s="2"/>
      <c r="Z188" s="2"/>
    </row>
    <row r="189" ht="15.75" customHeight="1">
      <c r="A189" s="1"/>
      <c r="B189" s="1"/>
      <c r="C189" s="1"/>
      <c r="D189" s="1"/>
      <c r="E189" s="1"/>
      <c r="F189" s="1"/>
      <c r="G189" s="2"/>
      <c r="H189" s="2"/>
      <c r="I189" s="2"/>
      <c r="J189" s="2"/>
      <c r="K189" s="2"/>
      <c r="L189" s="2"/>
      <c r="M189" s="2"/>
      <c r="N189" s="2"/>
      <c r="O189" s="2"/>
      <c r="P189" s="2"/>
      <c r="Q189" s="2"/>
      <c r="R189" s="2"/>
      <c r="S189" s="2"/>
      <c r="T189" s="2"/>
      <c r="U189" s="2"/>
      <c r="V189" s="2"/>
      <c r="W189" s="2"/>
      <c r="X189" s="2"/>
      <c r="Y189" s="2"/>
      <c r="Z189" s="2"/>
    </row>
    <row r="190" ht="15.75" customHeight="1">
      <c r="A190" s="1"/>
      <c r="B190" s="1"/>
      <c r="C190" s="1"/>
      <c r="D190" s="1"/>
      <c r="E190" s="1"/>
      <c r="F190" s="1"/>
      <c r="G190" s="2"/>
      <c r="H190" s="2"/>
      <c r="I190" s="2"/>
      <c r="J190" s="2"/>
      <c r="K190" s="2"/>
      <c r="L190" s="2"/>
      <c r="M190" s="2"/>
      <c r="N190" s="2"/>
      <c r="O190" s="2"/>
      <c r="P190" s="2"/>
      <c r="Q190" s="2"/>
      <c r="R190" s="2"/>
      <c r="S190" s="2"/>
      <c r="T190" s="2"/>
      <c r="U190" s="2"/>
      <c r="V190" s="2"/>
      <c r="W190" s="2"/>
      <c r="X190" s="2"/>
      <c r="Y190" s="2"/>
      <c r="Z190" s="2"/>
    </row>
    <row r="191" ht="15.75" customHeight="1">
      <c r="A191" s="1"/>
      <c r="B191" s="1"/>
      <c r="C191" s="1"/>
      <c r="D191" s="1"/>
      <c r="E191" s="1"/>
      <c r="F191" s="1"/>
      <c r="G191" s="2"/>
      <c r="H191" s="2"/>
      <c r="I191" s="2"/>
      <c r="J191" s="2"/>
      <c r="K191" s="2"/>
      <c r="L191" s="2"/>
      <c r="M191" s="2"/>
      <c r="N191" s="2"/>
      <c r="O191" s="2"/>
      <c r="P191" s="2"/>
      <c r="Q191" s="2"/>
      <c r="R191" s="2"/>
      <c r="S191" s="2"/>
      <c r="T191" s="2"/>
      <c r="U191" s="2"/>
      <c r="V191" s="2"/>
      <c r="W191" s="2"/>
      <c r="X191" s="2"/>
      <c r="Y191" s="2"/>
      <c r="Z191" s="2"/>
    </row>
    <row r="192" ht="15.75" customHeight="1">
      <c r="A192" s="1"/>
      <c r="B192" s="1"/>
      <c r="C192" s="1"/>
      <c r="D192" s="1"/>
      <c r="E192" s="1"/>
      <c r="F192" s="1"/>
      <c r="G192" s="2"/>
      <c r="H192" s="2"/>
      <c r="I192" s="2"/>
      <c r="J192" s="2"/>
      <c r="K192" s="2"/>
      <c r="L192" s="2"/>
      <c r="M192" s="2"/>
      <c r="N192" s="2"/>
      <c r="O192" s="2"/>
      <c r="P192" s="2"/>
      <c r="Q192" s="2"/>
      <c r="R192" s="2"/>
      <c r="S192" s="2"/>
      <c r="T192" s="2"/>
      <c r="U192" s="2"/>
      <c r="V192" s="2"/>
      <c r="W192" s="2"/>
      <c r="X192" s="2"/>
      <c r="Y192" s="2"/>
      <c r="Z192" s="2"/>
    </row>
    <row r="193" ht="15.75" customHeight="1">
      <c r="A193" s="1"/>
      <c r="B193" s="1"/>
      <c r="C193" s="1"/>
      <c r="D193" s="1"/>
      <c r="E193" s="1"/>
      <c r="F193" s="1"/>
      <c r="G193" s="2"/>
      <c r="H193" s="2"/>
      <c r="I193" s="2"/>
      <c r="J193" s="2"/>
      <c r="K193" s="2"/>
      <c r="L193" s="2"/>
      <c r="M193" s="2"/>
      <c r="N193" s="2"/>
      <c r="O193" s="2"/>
      <c r="P193" s="2"/>
      <c r="Q193" s="2"/>
      <c r="R193" s="2"/>
      <c r="S193" s="2"/>
      <c r="T193" s="2"/>
      <c r="U193" s="2"/>
      <c r="V193" s="2"/>
      <c r="W193" s="2"/>
      <c r="X193" s="2"/>
      <c r="Y193" s="2"/>
      <c r="Z193" s="2"/>
    </row>
    <row r="194" ht="15.75" customHeight="1">
      <c r="A194" s="1"/>
      <c r="B194" s="1"/>
      <c r="C194" s="1"/>
      <c r="D194" s="1"/>
      <c r="E194" s="1"/>
      <c r="F194" s="1"/>
      <c r="G194" s="2"/>
      <c r="H194" s="2"/>
      <c r="I194" s="2"/>
      <c r="J194" s="2"/>
      <c r="K194" s="2"/>
      <c r="L194" s="2"/>
      <c r="M194" s="2"/>
      <c r="N194" s="2"/>
      <c r="O194" s="2"/>
      <c r="P194" s="2"/>
      <c r="Q194" s="2"/>
      <c r="R194" s="2"/>
      <c r="S194" s="2"/>
      <c r="T194" s="2"/>
      <c r="U194" s="2"/>
      <c r="V194" s="2"/>
      <c r="W194" s="2"/>
      <c r="X194" s="2"/>
      <c r="Y194" s="2"/>
      <c r="Z194" s="2"/>
    </row>
    <row r="195" ht="15.75" customHeight="1">
      <c r="A195" s="1"/>
      <c r="B195" s="1"/>
      <c r="C195" s="1"/>
      <c r="D195" s="1"/>
      <c r="E195" s="1"/>
      <c r="F195" s="1"/>
      <c r="G195" s="2"/>
      <c r="H195" s="2"/>
      <c r="I195" s="2"/>
      <c r="J195" s="2"/>
      <c r="K195" s="2"/>
      <c r="L195" s="2"/>
      <c r="M195" s="2"/>
      <c r="N195" s="2"/>
      <c r="O195" s="2"/>
      <c r="P195" s="2"/>
      <c r="Q195" s="2"/>
      <c r="R195" s="2"/>
      <c r="S195" s="2"/>
      <c r="T195" s="2"/>
      <c r="U195" s="2"/>
      <c r="V195" s="2"/>
      <c r="W195" s="2"/>
      <c r="X195" s="2"/>
      <c r="Y195" s="2"/>
      <c r="Z195" s="2"/>
    </row>
    <row r="196" ht="15.75" customHeight="1">
      <c r="A196" s="1"/>
      <c r="B196" s="1"/>
      <c r="C196" s="1"/>
      <c r="D196" s="1"/>
      <c r="E196" s="1"/>
      <c r="F196" s="1"/>
      <c r="G196" s="2"/>
      <c r="H196" s="2"/>
      <c r="I196" s="2"/>
      <c r="J196" s="2"/>
      <c r="K196" s="2"/>
      <c r="L196" s="2"/>
      <c r="M196" s="2"/>
      <c r="N196" s="2"/>
      <c r="O196" s="2"/>
      <c r="P196" s="2"/>
      <c r="Q196" s="2"/>
      <c r="R196" s="2"/>
      <c r="S196" s="2"/>
      <c r="T196" s="2"/>
      <c r="U196" s="2"/>
      <c r="V196" s="2"/>
      <c r="W196" s="2"/>
      <c r="X196" s="2"/>
      <c r="Y196" s="2"/>
      <c r="Z196" s="2"/>
    </row>
    <row r="197" ht="15.75" customHeight="1">
      <c r="A197" s="1"/>
      <c r="B197" s="1"/>
      <c r="C197" s="1"/>
      <c r="D197" s="1"/>
      <c r="E197" s="1"/>
      <c r="F197" s="1"/>
      <c r="G197" s="2"/>
      <c r="H197" s="2"/>
      <c r="I197" s="2"/>
      <c r="J197" s="2"/>
      <c r="K197" s="2"/>
      <c r="L197" s="2"/>
      <c r="M197" s="2"/>
      <c r="N197" s="2"/>
      <c r="O197" s="2"/>
      <c r="P197" s="2"/>
      <c r="Q197" s="2"/>
      <c r="R197" s="2"/>
      <c r="S197" s="2"/>
      <c r="T197" s="2"/>
      <c r="U197" s="2"/>
      <c r="V197" s="2"/>
      <c r="W197" s="2"/>
      <c r="X197" s="2"/>
      <c r="Y197" s="2"/>
      <c r="Z197" s="2"/>
    </row>
    <row r="198" ht="15.75" customHeight="1">
      <c r="A198" s="1"/>
      <c r="B198" s="1"/>
      <c r="C198" s="1"/>
      <c r="D198" s="1"/>
      <c r="E198" s="1"/>
      <c r="F198" s="1"/>
      <c r="G198" s="2"/>
      <c r="H198" s="2"/>
      <c r="I198" s="2"/>
      <c r="J198" s="2"/>
      <c r="K198" s="2"/>
      <c r="L198" s="2"/>
      <c r="M198" s="2"/>
      <c r="N198" s="2"/>
      <c r="O198" s="2"/>
      <c r="P198" s="2"/>
      <c r="Q198" s="2"/>
      <c r="R198" s="2"/>
      <c r="S198" s="2"/>
      <c r="T198" s="2"/>
      <c r="U198" s="2"/>
      <c r="V198" s="2"/>
      <c r="W198" s="2"/>
      <c r="X198" s="2"/>
      <c r="Y198" s="2"/>
      <c r="Z198" s="2"/>
    </row>
    <row r="199" ht="15.75" customHeight="1">
      <c r="A199" s="1"/>
      <c r="B199" s="1"/>
      <c r="C199" s="1"/>
      <c r="D199" s="1"/>
      <c r="E199" s="1"/>
      <c r="F199" s="1"/>
      <c r="G199" s="2"/>
      <c r="H199" s="2"/>
      <c r="I199" s="2"/>
      <c r="J199" s="2"/>
      <c r="K199" s="2"/>
      <c r="L199" s="2"/>
      <c r="M199" s="2"/>
      <c r="N199" s="2"/>
      <c r="O199" s="2"/>
      <c r="P199" s="2"/>
      <c r="Q199" s="2"/>
      <c r="R199" s="2"/>
      <c r="S199" s="2"/>
      <c r="T199" s="2"/>
      <c r="U199" s="2"/>
      <c r="V199" s="2"/>
      <c r="W199" s="2"/>
      <c r="X199" s="2"/>
      <c r="Y199" s="2"/>
      <c r="Z199" s="2"/>
    </row>
    <row r="200" ht="15.75" customHeight="1">
      <c r="A200" s="1"/>
      <c r="B200" s="1"/>
      <c r="C200" s="1"/>
      <c r="D200" s="1"/>
      <c r="E200" s="1"/>
      <c r="F200" s="1"/>
      <c r="G200" s="2"/>
      <c r="H200" s="2"/>
      <c r="I200" s="2"/>
      <c r="J200" s="2"/>
      <c r="K200" s="2"/>
      <c r="L200" s="2"/>
      <c r="M200" s="2"/>
      <c r="N200" s="2"/>
      <c r="O200" s="2"/>
      <c r="P200" s="2"/>
      <c r="Q200" s="2"/>
      <c r="R200" s="2"/>
      <c r="S200" s="2"/>
      <c r="T200" s="2"/>
      <c r="U200" s="2"/>
      <c r="V200" s="2"/>
      <c r="W200" s="2"/>
      <c r="X200" s="2"/>
      <c r="Y200" s="2"/>
      <c r="Z200" s="2"/>
    </row>
    <row r="201" ht="15.75" customHeight="1">
      <c r="A201" s="1"/>
      <c r="B201" s="1"/>
      <c r="C201" s="1"/>
      <c r="D201" s="1"/>
      <c r="E201" s="1"/>
      <c r="F201" s="1"/>
      <c r="G201" s="2"/>
      <c r="H201" s="2"/>
      <c r="I201" s="2"/>
      <c r="J201" s="2"/>
      <c r="K201" s="2"/>
      <c r="L201" s="2"/>
      <c r="M201" s="2"/>
      <c r="N201" s="2"/>
      <c r="O201" s="2"/>
      <c r="P201" s="2"/>
      <c r="Q201" s="2"/>
      <c r="R201" s="2"/>
      <c r="S201" s="2"/>
      <c r="T201" s="2"/>
      <c r="U201" s="2"/>
      <c r="V201" s="2"/>
      <c r="W201" s="2"/>
      <c r="X201" s="2"/>
      <c r="Y201" s="2"/>
      <c r="Z201" s="2"/>
    </row>
    <row r="202" ht="15.75" customHeight="1">
      <c r="A202" s="1"/>
      <c r="B202" s="1"/>
      <c r="C202" s="1"/>
      <c r="D202" s="1"/>
      <c r="E202" s="1"/>
      <c r="F202" s="1"/>
      <c r="G202" s="2"/>
      <c r="H202" s="2"/>
      <c r="I202" s="2"/>
      <c r="J202" s="2"/>
      <c r="K202" s="2"/>
      <c r="L202" s="2"/>
      <c r="M202" s="2"/>
      <c r="N202" s="2"/>
      <c r="O202" s="2"/>
      <c r="P202" s="2"/>
      <c r="Q202" s="2"/>
      <c r="R202" s="2"/>
      <c r="S202" s="2"/>
      <c r="T202" s="2"/>
      <c r="U202" s="2"/>
      <c r="V202" s="2"/>
      <c r="W202" s="2"/>
      <c r="X202" s="2"/>
      <c r="Y202" s="2"/>
      <c r="Z202" s="2"/>
    </row>
    <row r="203" ht="15.75" customHeight="1">
      <c r="A203" s="1"/>
      <c r="B203" s="1"/>
      <c r="C203" s="1"/>
      <c r="D203" s="1"/>
      <c r="E203" s="1"/>
      <c r="F203" s="1"/>
      <c r="G203" s="2"/>
      <c r="H203" s="2"/>
      <c r="I203" s="2"/>
      <c r="J203" s="2"/>
      <c r="K203" s="2"/>
      <c r="L203" s="2"/>
      <c r="M203" s="2"/>
      <c r="N203" s="2"/>
      <c r="O203" s="2"/>
      <c r="P203" s="2"/>
      <c r="Q203" s="2"/>
      <c r="R203" s="2"/>
      <c r="S203" s="2"/>
      <c r="T203" s="2"/>
      <c r="U203" s="2"/>
      <c r="V203" s="2"/>
      <c r="W203" s="2"/>
      <c r="X203" s="2"/>
      <c r="Y203" s="2"/>
      <c r="Z203" s="2"/>
    </row>
    <row r="204" ht="15.75" customHeight="1">
      <c r="A204" s="1"/>
      <c r="B204" s="1"/>
      <c r="C204" s="1"/>
      <c r="D204" s="1"/>
      <c r="E204" s="1"/>
      <c r="F204" s="1"/>
      <c r="G204" s="2"/>
      <c r="H204" s="2"/>
      <c r="I204" s="2"/>
      <c r="J204" s="2"/>
      <c r="K204" s="2"/>
      <c r="L204" s="2"/>
      <c r="M204" s="2"/>
      <c r="N204" s="2"/>
      <c r="O204" s="2"/>
      <c r="P204" s="2"/>
      <c r="Q204" s="2"/>
      <c r="R204" s="2"/>
      <c r="S204" s="2"/>
      <c r="T204" s="2"/>
      <c r="U204" s="2"/>
      <c r="V204" s="2"/>
      <c r="W204" s="2"/>
      <c r="X204" s="2"/>
      <c r="Y204" s="2"/>
      <c r="Z204" s="2"/>
    </row>
    <row r="205" ht="15.75" customHeight="1">
      <c r="A205" s="1"/>
      <c r="B205" s="1"/>
      <c r="C205" s="1"/>
      <c r="D205" s="1"/>
      <c r="E205" s="1"/>
      <c r="F205" s="1"/>
      <c r="G205" s="2"/>
      <c r="H205" s="2"/>
      <c r="I205" s="2"/>
      <c r="J205" s="2"/>
      <c r="K205" s="2"/>
      <c r="L205" s="2"/>
      <c r="M205" s="2"/>
      <c r="N205" s="2"/>
      <c r="O205" s="2"/>
      <c r="P205" s="2"/>
      <c r="Q205" s="2"/>
      <c r="R205" s="2"/>
      <c r="S205" s="2"/>
      <c r="T205" s="2"/>
      <c r="U205" s="2"/>
      <c r="V205" s="2"/>
      <c r="W205" s="2"/>
      <c r="X205" s="2"/>
      <c r="Y205" s="2"/>
      <c r="Z205" s="2"/>
    </row>
    <row r="206" ht="15.75" customHeight="1">
      <c r="A206" s="1"/>
      <c r="B206" s="1"/>
      <c r="C206" s="1"/>
      <c r="D206" s="1"/>
      <c r="E206" s="1"/>
      <c r="F206" s="1"/>
      <c r="G206" s="2"/>
      <c r="H206" s="2"/>
      <c r="I206" s="2"/>
      <c r="J206" s="2"/>
      <c r="K206" s="2"/>
      <c r="L206" s="2"/>
      <c r="M206" s="2"/>
      <c r="N206" s="2"/>
      <c r="O206" s="2"/>
      <c r="P206" s="2"/>
      <c r="Q206" s="2"/>
      <c r="R206" s="2"/>
      <c r="S206" s="2"/>
      <c r="T206" s="2"/>
      <c r="U206" s="2"/>
      <c r="V206" s="2"/>
      <c r="W206" s="2"/>
      <c r="X206" s="2"/>
      <c r="Y206" s="2"/>
      <c r="Z206" s="2"/>
    </row>
    <row r="207" ht="15.75" customHeight="1">
      <c r="A207" s="1"/>
      <c r="B207" s="1"/>
      <c r="C207" s="1"/>
      <c r="D207" s="1"/>
      <c r="E207" s="1"/>
      <c r="F207" s="1"/>
      <c r="G207" s="2"/>
      <c r="H207" s="2"/>
      <c r="I207" s="2"/>
      <c r="J207" s="2"/>
      <c r="K207" s="2"/>
      <c r="L207" s="2"/>
      <c r="M207" s="2"/>
      <c r="N207" s="2"/>
      <c r="O207" s="2"/>
      <c r="P207" s="2"/>
      <c r="Q207" s="2"/>
      <c r="R207" s="2"/>
      <c r="S207" s="2"/>
      <c r="T207" s="2"/>
      <c r="U207" s="2"/>
      <c r="V207" s="2"/>
      <c r="W207" s="2"/>
      <c r="X207" s="2"/>
      <c r="Y207" s="2"/>
      <c r="Z207" s="2"/>
    </row>
    <row r="208" ht="15.75" customHeight="1">
      <c r="A208" s="1"/>
      <c r="B208" s="1"/>
      <c r="C208" s="1"/>
      <c r="D208" s="1"/>
      <c r="E208" s="1"/>
      <c r="F208" s="1"/>
      <c r="G208" s="2"/>
      <c r="H208" s="2"/>
      <c r="I208" s="2"/>
      <c r="J208" s="2"/>
      <c r="K208" s="2"/>
      <c r="L208" s="2"/>
      <c r="M208" s="2"/>
      <c r="N208" s="2"/>
      <c r="O208" s="2"/>
      <c r="P208" s="2"/>
      <c r="Q208" s="2"/>
      <c r="R208" s="2"/>
      <c r="S208" s="2"/>
      <c r="T208" s="2"/>
      <c r="U208" s="2"/>
      <c r="V208" s="2"/>
      <c r="W208" s="2"/>
      <c r="X208" s="2"/>
      <c r="Y208" s="2"/>
      <c r="Z208" s="2"/>
    </row>
    <row r="209" ht="15.75" customHeight="1">
      <c r="A209" s="1"/>
      <c r="B209" s="1"/>
      <c r="C209" s="1"/>
      <c r="D209" s="1"/>
      <c r="E209" s="1"/>
      <c r="F209" s="1"/>
      <c r="G209" s="2"/>
      <c r="H209" s="2"/>
      <c r="I209" s="2"/>
      <c r="J209" s="2"/>
      <c r="K209" s="2"/>
      <c r="L209" s="2"/>
      <c r="M209" s="2"/>
      <c r="N209" s="2"/>
      <c r="O209" s="2"/>
      <c r="P209" s="2"/>
      <c r="Q209" s="2"/>
      <c r="R209" s="2"/>
      <c r="S209" s="2"/>
      <c r="T209" s="2"/>
      <c r="U209" s="2"/>
      <c r="V209" s="2"/>
      <c r="W209" s="2"/>
      <c r="X209" s="2"/>
      <c r="Y209" s="2"/>
      <c r="Z209" s="2"/>
    </row>
    <row r="210" ht="15.75" customHeight="1">
      <c r="A210" s="1"/>
      <c r="B210" s="1"/>
      <c r="C210" s="1"/>
      <c r="D210" s="1"/>
      <c r="E210" s="1"/>
      <c r="F210" s="1"/>
      <c r="G210" s="2"/>
      <c r="H210" s="2"/>
      <c r="I210" s="2"/>
      <c r="J210" s="2"/>
      <c r="K210" s="2"/>
      <c r="L210" s="2"/>
      <c r="M210" s="2"/>
      <c r="N210" s="2"/>
      <c r="O210" s="2"/>
      <c r="P210" s="2"/>
      <c r="Q210" s="2"/>
      <c r="R210" s="2"/>
      <c r="S210" s="2"/>
      <c r="T210" s="2"/>
      <c r="U210" s="2"/>
      <c r="V210" s="2"/>
      <c r="W210" s="2"/>
      <c r="X210" s="2"/>
      <c r="Y210" s="2"/>
      <c r="Z210" s="2"/>
    </row>
    <row r="211" ht="15.75" customHeight="1">
      <c r="A211" s="1"/>
      <c r="B211" s="1"/>
      <c r="C211" s="1"/>
      <c r="D211" s="1"/>
      <c r="E211" s="1"/>
      <c r="F211" s="1"/>
      <c r="G211" s="2"/>
      <c r="H211" s="2"/>
      <c r="I211" s="2"/>
      <c r="J211" s="2"/>
      <c r="K211" s="2"/>
      <c r="L211" s="2"/>
      <c r="M211" s="2"/>
      <c r="N211" s="2"/>
      <c r="O211" s="2"/>
      <c r="P211" s="2"/>
      <c r="Q211" s="2"/>
      <c r="R211" s="2"/>
      <c r="S211" s="2"/>
      <c r="T211" s="2"/>
      <c r="U211" s="2"/>
      <c r="V211" s="2"/>
      <c r="W211" s="2"/>
      <c r="X211" s="2"/>
      <c r="Y211" s="2"/>
      <c r="Z211" s="2"/>
    </row>
    <row r="212" ht="15.75" customHeight="1">
      <c r="A212" s="1"/>
      <c r="B212" s="1"/>
      <c r="C212" s="1"/>
      <c r="D212" s="1"/>
      <c r="E212" s="1"/>
      <c r="F212" s="1"/>
      <c r="G212" s="2"/>
      <c r="H212" s="2"/>
      <c r="I212" s="2"/>
      <c r="J212" s="2"/>
      <c r="K212" s="2"/>
      <c r="L212" s="2"/>
      <c r="M212" s="2"/>
      <c r="N212" s="2"/>
      <c r="O212" s="2"/>
      <c r="P212" s="2"/>
      <c r="Q212" s="2"/>
      <c r="R212" s="2"/>
      <c r="S212" s="2"/>
      <c r="T212" s="2"/>
      <c r="U212" s="2"/>
      <c r="V212" s="2"/>
      <c r="W212" s="2"/>
      <c r="X212" s="2"/>
      <c r="Y212" s="2"/>
      <c r="Z212" s="2"/>
    </row>
    <row r="213" ht="15.75" customHeight="1">
      <c r="A213" s="1"/>
      <c r="B213" s="1"/>
      <c r="C213" s="1"/>
      <c r="D213" s="1"/>
      <c r="E213" s="1"/>
      <c r="F213" s="1"/>
      <c r="G213" s="2"/>
      <c r="H213" s="2"/>
      <c r="I213" s="2"/>
      <c r="J213" s="2"/>
      <c r="K213" s="2"/>
      <c r="L213" s="2"/>
      <c r="M213" s="2"/>
      <c r="N213" s="2"/>
      <c r="O213" s="2"/>
      <c r="P213" s="2"/>
      <c r="Q213" s="2"/>
      <c r="R213" s="2"/>
      <c r="S213" s="2"/>
      <c r="T213" s="2"/>
      <c r="U213" s="2"/>
      <c r="V213" s="2"/>
      <c r="W213" s="2"/>
      <c r="X213" s="2"/>
      <c r="Y213" s="2"/>
      <c r="Z213" s="2"/>
    </row>
    <row r="214" ht="15.75" customHeight="1">
      <c r="A214" s="1"/>
      <c r="B214" s="1"/>
      <c r="C214" s="1"/>
      <c r="D214" s="1"/>
      <c r="E214" s="1"/>
      <c r="F214" s="1"/>
      <c r="G214" s="2"/>
      <c r="H214" s="2"/>
      <c r="I214" s="2"/>
      <c r="J214" s="2"/>
      <c r="K214" s="2"/>
      <c r="L214" s="2"/>
      <c r="M214" s="2"/>
      <c r="N214" s="2"/>
      <c r="O214" s="2"/>
      <c r="P214" s="2"/>
      <c r="Q214" s="2"/>
      <c r="R214" s="2"/>
      <c r="S214" s="2"/>
      <c r="T214" s="2"/>
      <c r="U214" s="2"/>
      <c r="V214" s="2"/>
      <c r="W214" s="2"/>
      <c r="X214" s="2"/>
      <c r="Y214" s="2"/>
      <c r="Z214" s="2"/>
    </row>
    <row r="215" ht="15.75" customHeight="1">
      <c r="A215" s="1"/>
      <c r="B215" s="1"/>
      <c r="C215" s="1"/>
      <c r="D215" s="1"/>
      <c r="E215" s="1"/>
      <c r="F215" s="1"/>
      <c r="G215" s="2"/>
      <c r="H215" s="2"/>
      <c r="I215" s="2"/>
      <c r="J215" s="2"/>
      <c r="K215" s="2"/>
      <c r="L215" s="2"/>
      <c r="M215" s="2"/>
      <c r="N215" s="2"/>
      <c r="O215" s="2"/>
      <c r="P215" s="2"/>
      <c r="Q215" s="2"/>
      <c r="R215" s="2"/>
      <c r="S215" s="2"/>
      <c r="T215" s="2"/>
      <c r="U215" s="2"/>
      <c r="V215" s="2"/>
      <c r="W215" s="2"/>
      <c r="X215" s="2"/>
      <c r="Y215" s="2"/>
      <c r="Z215" s="2"/>
    </row>
    <row r="216" ht="15.75" customHeight="1">
      <c r="A216" s="1"/>
      <c r="B216" s="1"/>
      <c r="C216" s="1"/>
      <c r="D216" s="1"/>
      <c r="E216" s="1"/>
      <c r="F216" s="1"/>
      <c r="G216" s="2"/>
      <c r="H216" s="2"/>
      <c r="I216" s="2"/>
      <c r="J216" s="2"/>
      <c r="K216" s="2"/>
      <c r="L216" s="2"/>
      <c r="M216" s="2"/>
      <c r="N216" s="2"/>
      <c r="O216" s="2"/>
      <c r="P216" s="2"/>
      <c r="Q216" s="2"/>
      <c r="R216" s="2"/>
      <c r="S216" s="2"/>
      <c r="T216" s="2"/>
      <c r="U216" s="2"/>
      <c r="V216" s="2"/>
      <c r="W216" s="2"/>
      <c r="X216" s="2"/>
      <c r="Y216" s="2"/>
      <c r="Z216" s="2"/>
    </row>
    <row r="217" ht="15.75" customHeight="1">
      <c r="A217" s="1"/>
      <c r="B217" s="1"/>
      <c r="C217" s="1"/>
      <c r="D217" s="1"/>
      <c r="E217" s="1"/>
      <c r="F217" s="1"/>
      <c r="G217" s="2"/>
      <c r="H217" s="2"/>
      <c r="I217" s="2"/>
      <c r="J217" s="2"/>
      <c r="K217" s="2"/>
      <c r="L217" s="2"/>
      <c r="M217" s="2"/>
      <c r="N217" s="2"/>
      <c r="O217" s="2"/>
      <c r="P217" s="2"/>
      <c r="Q217" s="2"/>
      <c r="R217" s="2"/>
      <c r="S217" s="2"/>
      <c r="T217" s="2"/>
      <c r="U217" s="2"/>
      <c r="V217" s="2"/>
      <c r="W217" s="2"/>
      <c r="X217" s="2"/>
      <c r="Y217" s="2"/>
      <c r="Z217" s="2"/>
    </row>
    <row r="218" ht="15.75" customHeight="1">
      <c r="A218" s="1"/>
      <c r="B218" s="1"/>
      <c r="C218" s="1"/>
      <c r="D218" s="1"/>
      <c r="E218" s="1"/>
      <c r="F218" s="1"/>
      <c r="G218" s="2"/>
      <c r="H218" s="2"/>
      <c r="I218" s="2"/>
      <c r="J218" s="2"/>
      <c r="K218" s="2"/>
      <c r="L218" s="2"/>
      <c r="M218" s="2"/>
      <c r="N218" s="2"/>
      <c r="O218" s="2"/>
      <c r="P218" s="2"/>
      <c r="Q218" s="2"/>
      <c r="R218" s="2"/>
      <c r="S218" s="2"/>
      <c r="T218" s="2"/>
      <c r="U218" s="2"/>
      <c r="V218" s="2"/>
      <c r="W218" s="2"/>
      <c r="X218" s="2"/>
      <c r="Y218" s="2"/>
      <c r="Z218" s="2"/>
    </row>
    <row r="219" ht="15.75" customHeight="1">
      <c r="A219" s="1"/>
      <c r="B219" s="1"/>
      <c r="C219" s="1"/>
      <c r="D219" s="1"/>
      <c r="E219" s="1"/>
      <c r="F219" s="1"/>
      <c r="G219" s="2"/>
      <c r="H219" s="2"/>
      <c r="I219" s="2"/>
      <c r="J219" s="2"/>
      <c r="K219" s="2"/>
      <c r="L219" s="2"/>
      <c r="M219" s="2"/>
      <c r="N219" s="2"/>
      <c r="O219" s="2"/>
      <c r="P219" s="2"/>
      <c r="Q219" s="2"/>
      <c r="R219" s="2"/>
      <c r="S219" s="2"/>
      <c r="T219" s="2"/>
      <c r="U219" s="2"/>
      <c r="V219" s="2"/>
      <c r="W219" s="2"/>
      <c r="X219" s="2"/>
      <c r="Y219" s="2"/>
      <c r="Z219" s="2"/>
    </row>
    <row r="220" ht="15.75" customHeight="1">
      <c r="A220" s="1"/>
      <c r="B220" s="1"/>
      <c r="C220" s="1"/>
      <c r="D220" s="1"/>
      <c r="E220" s="1"/>
      <c r="F220" s="1"/>
      <c r="G220" s="2"/>
      <c r="H220" s="2"/>
      <c r="I220" s="2"/>
      <c r="J220" s="2"/>
      <c r="K220" s="2"/>
      <c r="L220" s="2"/>
      <c r="M220" s="2"/>
      <c r="N220" s="2"/>
      <c r="O220" s="2"/>
      <c r="P220" s="2"/>
      <c r="Q220" s="2"/>
      <c r="R220" s="2"/>
      <c r="S220" s="2"/>
      <c r="T220" s="2"/>
      <c r="U220" s="2"/>
      <c r="V220" s="2"/>
      <c r="W220" s="2"/>
      <c r="X220" s="2"/>
      <c r="Y220" s="2"/>
      <c r="Z220" s="2"/>
    </row>
    <row r="221" ht="15.75" customHeight="1">
      <c r="A221" s="1"/>
      <c r="B221" s="1"/>
      <c r="C221" s="1"/>
      <c r="D221" s="1"/>
      <c r="E221" s="1"/>
      <c r="F221" s="1"/>
      <c r="G221" s="2"/>
      <c r="H221" s="2"/>
      <c r="I221" s="2"/>
      <c r="J221" s="2"/>
      <c r="K221" s="2"/>
      <c r="L221" s="2"/>
      <c r="M221" s="2"/>
      <c r="N221" s="2"/>
      <c r="O221" s="2"/>
      <c r="P221" s="2"/>
      <c r="Q221" s="2"/>
      <c r="R221" s="2"/>
      <c r="S221" s="2"/>
      <c r="T221" s="2"/>
      <c r="U221" s="2"/>
      <c r="V221" s="2"/>
      <c r="W221" s="2"/>
      <c r="X221" s="2"/>
      <c r="Y221" s="2"/>
      <c r="Z221" s="2"/>
    </row>
    <row r="222" ht="15.75" customHeight="1">
      <c r="A222" s="1"/>
      <c r="B222" s="1"/>
      <c r="C222" s="1"/>
      <c r="D222" s="1"/>
      <c r="E222" s="1"/>
      <c r="F222" s="1"/>
      <c r="G222" s="2"/>
      <c r="H222" s="2"/>
      <c r="I222" s="2"/>
      <c r="J222" s="2"/>
      <c r="K222" s="2"/>
      <c r="L222" s="2"/>
      <c r="M222" s="2"/>
      <c r="N222" s="2"/>
      <c r="O222" s="2"/>
      <c r="P222" s="2"/>
      <c r="Q222" s="2"/>
      <c r="R222" s="2"/>
      <c r="S222" s="2"/>
      <c r="T222" s="2"/>
      <c r="U222" s="2"/>
      <c r="V222" s="2"/>
      <c r="W222" s="2"/>
      <c r="X222" s="2"/>
      <c r="Y222" s="2"/>
      <c r="Z222" s="2"/>
    </row>
    <row r="223" ht="15.75" customHeight="1">
      <c r="A223" s="1"/>
      <c r="B223" s="1"/>
      <c r="C223" s="1"/>
      <c r="D223" s="1"/>
      <c r="E223" s="1"/>
      <c r="F223" s="1"/>
      <c r="G223" s="2"/>
      <c r="H223" s="2"/>
      <c r="I223" s="2"/>
      <c r="J223" s="2"/>
      <c r="K223" s="2"/>
      <c r="L223" s="2"/>
      <c r="M223" s="2"/>
      <c r="N223" s="2"/>
      <c r="O223" s="2"/>
      <c r="P223" s="2"/>
      <c r="Q223" s="2"/>
      <c r="R223" s="2"/>
      <c r="S223" s="2"/>
      <c r="T223" s="2"/>
      <c r="U223" s="2"/>
      <c r="V223" s="2"/>
      <c r="W223" s="2"/>
      <c r="X223" s="2"/>
      <c r="Y223" s="2"/>
      <c r="Z223" s="2"/>
    </row>
    <row r="224" ht="15.75" customHeight="1">
      <c r="A224" s="1"/>
      <c r="B224" s="1"/>
      <c r="C224" s="1"/>
      <c r="D224" s="1"/>
      <c r="E224" s="1"/>
      <c r="F224" s="1"/>
      <c r="G224" s="2"/>
      <c r="H224" s="2"/>
      <c r="I224" s="2"/>
      <c r="J224" s="2"/>
      <c r="K224" s="2"/>
      <c r="L224" s="2"/>
      <c r="M224" s="2"/>
      <c r="N224" s="2"/>
      <c r="O224" s="2"/>
      <c r="P224" s="2"/>
      <c r="Q224" s="2"/>
      <c r="R224" s="2"/>
      <c r="S224" s="2"/>
      <c r="T224" s="2"/>
      <c r="U224" s="2"/>
      <c r="V224" s="2"/>
      <c r="W224" s="2"/>
      <c r="X224" s="2"/>
      <c r="Y224" s="2"/>
      <c r="Z224" s="2"/>
    </row>
    <row r="225" ht="15.75" customHeight="1">
      <c r="A225" s="1"/>
      <c r="B225" s="1"/>
      <c r="C225" s="1"/>
      <c r="D225" s="1"/>
      <c r="E225" s="1"/>
      <c r="F225" s="1"/>
      <c r="G225" s="2"/>
      <c r="H225" s="2"/>
      <c r="I225" s="2"/>
      <c r="J225" s="2"/>
      <c r="K225" s="2"/>
      <c r="L225" s="2"/>
      <c r="M225" s="2"/>
      <c r="N225" s="2"/>
      <c r="O225" s="2"/>
      <c r="P225" s="2"/>
      <c r="Q225" s="2"/>
      <c r="R225" s="2"/>
      <c r="S225" s="2"/>
      <c r="T225" s="2"/>
      <c r="U225" s="2"/>
      <c r="V225" s="2"/>
      <c r="W225" s="2"/>
      <c r="X225" s="2"/>
      <c r="Y225" s="2"/>
      <c r="Z225" s="2"/>
    </row>
    <row r="226" ht="15.75" customHeight="1">
      <c r="A226" s="1"/>
      <c r="B226" s="1"/>
      <c r="C226" s="1"/>
      <c r="D226" s="1"/>
      <c r="E226" s="1"/>
      <c r="F226" s="1"/>
      <c r="G226" s="2"/>
      <c r="H226" s="2"/>
      <c r="I226" s="2"/>
      <c r="J226" s="2"/>
      <c r="K226" s="2"/>
      <c r="L226" s="2"/>
      <c r="M226" s="2"/>
      <c r="N226" s="2"/>
      <c r="O226" s="2"/>
      <c r="P226" s="2"/>
      <c r="Q226" s="2"/>
      <c r="R226" s="2"/>
      <c r="S226" s="2"/>
      <c r="T226" s="2"/>
      <c r="U226" s="2"/>
      <c r="V226" s="2"/>
      <c r="W226" s="2"/>
      <c r="X226" s="2"/>
      <c r="Y226" s="2"/>
      <c r="Z226" s="2"/>
    </row>
    <row r="227" ht="15.75" customHeight="1">
      <c r="A227" s="1"/>
      <c r="B227" s="1"/>
      <c r="C227" s="1"/>
      <c r="D227" s="1"/>
      <c r="E227" s="1"/>
      <c r="F227" s="1"/>
      <c r="G227" s="2"/>
      <c r="H227" s="2"/>
      <c r="I227" s="2"/>
      <c r="J227" s="2"/>
      <c r="K227" s="2"/>
      <c r="L227" s="2"/>
      <c r="M227" s="2"/>
      <c r="N227" s="2"/>
      <c r="O227" s="2"/>
      <c r="P227" s="2"/>
      <c r="Q227" s="2"/>
      <c r="R227" s="2"/>
      <c r="S227" s="2"/>
      <c r="T227" s="2"/>
      <c r="U227" s="2"/>
      <c r="V227" s="2"/>
      <c r="W227" s="2"/>
      <c r="X227" s="2"/>
      <c r="Y227" s="2"/>
      <c r="Z227" s="2"/>
    </row>
    <row r="228" ht="15.75" customHeight="1">
      <c r="A228" s="1"/>
      <c r="B228" s="1"/>
      <c r="C228" s="1"/>
      <c r="D228" s="1"/>
      <c r="E228" s="1"/>
      <c r="F228" s="1"/>
      <c r="G228" s="2"/>
      <c r="H228" s="2"/>
      <c r="I228" s="2"/>
      <c r="J228" s="2"/>
      <c r="K228" s="2"/>
      <c r="L228" s="2"/>
      <c r="M228" s="2"/>
      <c r="N228" s="2"/>
      <c r="O228" s="2"/>
      <c r="P228" s="2"/>
      <c r="Q228" s="2"/>
      <c r="R228" s="2"/>
      <c r="S228" s="2"/>
      <c r="T228" s="2"/>
      <c r="U228" s="2"/>
      <c r="V228" s="2"/>
      <c r="W228" s="2"/>
      <c r="X228" s="2"/>
      <c r="Y228" s="2"/>
      <c r="Z228" s="2"/>
    </row>
    <row r="229" ht="15.75" customHeight="1">
      <c r="A229" s="1"/>
      <c r="B229" s="1"/>
      <c r="C229" s="1"/>
      <c r="D229" s="1"/>
      <c r="E229" s="1"/>
      <c r="F229" s="1"/>
      <c r="G229" s="2"/>
      <c r="H229" s="2"/>
      <c r="I229" s="2"/>
      <c r="J229" s="2"/>
      <c r="K229" s="2"/>
      <c r="L229" s="2"/>
      <c r="M229" s="2"/>
      <c r="N229" s="2"/>
      <c r="O229" s="2"/>
      <c r="P229" s="2"/>
      <c r="Q229" s="2"/>
      <c r="R229" s="2"/>
      <c r="S229" s="2"/>
      <c r="T229" s="2"/>
      <c r="U229" s="2"/>
      <c r="V229" s="2"/>
      <c r="W229" s="2"/>
      <c r="X229" s="2"/>
      <c r="Y229" s="2"/>
      <c r="Z229" s="2"/>
    </row>
    <row r="230" ht="15.75" customHeight="1">
      <c r="A230" s="1"/>
      <c r="B230" s="1"/>
      <c r="C230" s="1"/>
      <c r="D230" s="1"/>
      <c r="E230" s="1"/>
      <c r="F230" s="1"/>
      <c r="G230" s="2"/>
      <c r="H230" s="2"/>
      <c r="I230" s="2"/>
      <c r="J230" s="2"/>
      <c r="K230" s="2"/>
      <c r="L230" s="2"/>
      <c r="M230" s="2"/>
      <c r="N230" s="2"/>
      <c r="O230" s="2"/>
      <c r="P230" s="2"/>
      <c r="Q230" s="2"/>
      <c r="R230" s="2"/>
      <c r="S230" s="2"/>
      <c r="T230" s="2"/>
      <c r="U230" s="2"/>
      <c r="V230" s="2"/>
      <c r="W230" s="2"/>
      <c r="X230" s="2"/>
      <c r="Y230" s="2"/>
      <c r="Z230" s="2"/>
    </row>
    <row r="231" ht="15.75" customHeight="1">
      <c r="A231" s="1"/>
      <c r="B231" s="1"/>
      <c r="C231" s="1"/>
      <c r="D231" s="1"/>
      <c r="E231" s="1"/>
      <c r="F231" s="1"/>
      <c r="G231" s="2"/>
      <c r="H231" s="2"/>
      <c r="I231" s="2"/>
      <c r="J231" s="2"/>
      <c r="K231" s="2"/>
      <c r="L231" s="2"/>
      <c r="M231" s="2"/>
      <c r="N231" s="2"/>
      <c r="O231" s="2"/>
      <c r="P231" s="2"/>
      <c r="Q231" s="2"/>
      <c r="R231" s="2"/>
      <c r="S231" s="2"/>
      <c r="T231" s="2"/>
      <c r="U231" s="2"/>
      <c r="V231" s="2"/>
      <c r="W231" s="2"/>
      <c r="X231" s="2"/>
      <c r="Y231" s="2"/>
      <c r="Z231" s="2"/>
    </row>
    <row r="232" ht="15.75" customHeight="1">
      <c r="A232" s="1"/>
      <c r="B232" s="1"/>
      <c r="C232" s="1"/>
      <c r="D232" s="1"/>
      <c r="E232" s="1"/>
      <c r="F232" s="1"/>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sheetData>
  <mergeCells count="13">
    <mergeCell ref="B18:F20"/>
    <mergeCell ref="B22:F22"/>
    <mergeCell ref="B23:F25"/>
    <mergeCell ref="B27:F27"/>
    <mergeCell ref="B28:F30"/>
    <mergeCell ref="B32:F33"/>
    <mergeCell ref="B2:F2"/>
    <mergeCell ref="B3:F6"/>
    <mergeCell ref="B7:F9"/>
    <mergeCell ref="B11:F11"/>
    <mergeCell ref="B12:F12"/>
    <mergeCell ref="B13:F15"/>
    <mergeCell ref="B17:F17"/>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2541"/>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47.43"/>
    <col customWidth="1" min="2" max="2" width="17.57"/>
    <col customWidth="1" min="3" max="5" width="14.0"/>
    <col customWidth="1" min="6" max="6" width="50.0"/>
  </cols>
  <sheetData>
    <row r="1" ht="21.75" customHeight="1">
      <c r="A1" s="9" t="s">
        <v>13</v>
      </c>
      <c r="B1" s="4"/>
      <c r="C1" s="4"/>
      <c r="D1" s="4"/>
      <c r="E1" s="4"/>
      <c r="F1" s="5"/>
      <c r="G1" s="2"/>
      <c r="H1" s="2"/>
      <c r="I1" s="2"/>
      <c r="J1" s="2"/>
      <c r="K1" s="2"/>
      <c r="L1" s="2"/>
      <c r="M1" s="2"/>
      <c r="N1" s="2"/>
      <c r="O1" s="2"/>
      <c r="P1" s="2"/>
      <c r="Q1" s="2"/>
      <c r="R1" s="2"/>
      <c r="S1" s="2"/>
      <c r="T1" s="2"/>
      <c r="U1" s="2"/>
      <c r="V1" s="2"/>
      <c r="W1" s="2"/>
      <c r="X1" s="2"/>
      <c r="Y1" s="2"/>
      <c r="Z1" s="2"/>
    </row>
    <row r="2" ht="15.0" customHeight="1">
      <c r="A2" s="10" t="s">
        <v>14</v>
      </c>
      <c r="G2" s="2"/>
      <c r="H2" s="2"/>
      <c r="I2" s="2"/>
      <c r="J2" s="2"/>
      <c r="K2" s="2"/>
      <c r="L2" s="2"/>
      <c r="M2" s="2"/>
      <c r="N2" s="2"/>
      <c r="O2" s="2"/>
      <c r="P2" s="2"/>
      <c r="Q2" s="2"/>
      <c r="R2" s="2"/>
      <c r="S2" s="2"/>
      <c r="T2" s="2"/>
      <c r="U2" s="2"/>
      <c r="V2" s="2"/>
      <c r="W2" s="2"/>
      <c r="X2" s="2"/>
      <c r="Y2" s="2"/>
      <c r="Z2" s="2"/>
    </row>
    <row r="3">
      <c r="A3" s="1"/>
      <c r="B3" s="1"/>
      <c r="C3" s="1"/>
      <c r="D3" s="1"/>
      <c r="E3" s="1"/>
      <c r="F3" s="1"/>
      <c r="G3" s="2"/>
      <c r="H3" s="2"/>
      <c r="I3" s="2"/>
      <c r="J3" s="2"/>
      <c r="K3" s="2"/>
      <c r="L3" s="2"/>
      <c r="M3" s="2"/>
      <c r="N3" s="2"/>
      <c r="O3" s="2"/>
      <c r="P3" s="2"/>
      <c r="Q3" s="2"/>
      <c r="R3" s="2"/>
      <c r="S3" s="2"/>
      <c r="T3" s="2"/>
      <c r="U3" s="2"/>
      <c r="V3" s="2"/>
      <c r="W3" s="2"/>
      <c r="X3" s="2"/>
      <c r="Y3" s="2"/>
      <c r="Z3" s="2"/>
    </row>
    <row r="4" ht="15.0" customHeight="1">
      <c r="A4" s="11" t="s">
        <v>15</v>
      </c>
      <c r="B4" s="4"/>
      <c r="C4" s="4"/>
      <c r="D4" s="4"/>
      <c r="E4" s="4"/>
      <c r="F4" s="5"/>
      <c r="G4" s="2"/>
      <c r="H4" s="2"/>
      <c r="I4" s="2"/>
      <c r="J4" s="2"/>
      <c r="K4" s="2"/>
      <c r="L4" s="2"/>
      <c r="M4" s="2"/>
      <c r="N4" s="2"/>
      <c r="O4" s="2"/>
      <c r="P4" s="2"/>
      <c r="Q4" s="2"/>
      <c r="R4" s="2"/>
      <c r="S4" s="2"/>
      <c r="T4" s="2"/>
      <c r="U4" s="2"/>
      <c r="V4" s="2"/>
      <c r="W4" s="2"/>
      <c r="X4" s="2"/>
      <c r="Y4" s="2"/>
      <c r="Z4" s="2"/>
    </row>
    <row r="5" ht="15.0" customHeight="1">
      <c r="A5" s="12" t="s">
        <v>16</v>
      </c>
      <c r="B5" s="13">
        <f>'Unit Economics &amp; Calendar'!C3</f>
        <v>65</v>
      </c>
      <c r="C5" s="1"/>
      <c r="D5" s="1"/>
      <c r="E5" s="1"/>
      <c r="F5" s="1"/>
      <c r="G5" s="2"/>
      <c r="H5" s="2"/>
      <c r="I5" s="2"/>
      <c r="J5" s="2"/>
      <c r="K5" s="2"/>
      <c r="L5" s="2"/>
      <c r="M5" s="2"/>
      <c r="N5" s="2"/>
      <c r="O5" s="2"/>
      <c r="P5" s="2"/>
      <c r="Q5" s="2"/>
      <c r="R5" s="2"/>
      <c r="S5" s="2"/>
      <c r="T5" s="2"/>
      <c r="U5" s="2"/>
      <c r="V5" s="2"/>
      <c r="W5" s="2"/>
      <c r="X5" s="2"/>
      <c r="Y5" s="2"/>
      <c r="Z5" s="2"/>
    </row>
    <row r="6" ht="15.0" customHeight="1">
      <c r="A6" s="12" t="s">
        <v>17</v>
      </c>
      <c r="B6" s="14">
        <f>'Unit Economics &amp; Calendar'!C4</f>
        <v>0.6</v>
      </c>
      <c r="C6" s="1"/>
      <c r="D6" s="1"/>
      <c r="E6" s="1"/>
      <c r="F6" s="1"/>
      <c r="G6" s="2"/>
      <c r="H6" s="2"/>
      <c r="I6" s="2"/>
      <c r="J6" s="2"/>
      <c r="K6" s="2"/>
      <c r="L6" s="2"/>
      <c r="M6" s="2"/>
      <c r="N6" s="2"/>
      <c r="O6" s="2"/>
      <c r="P6" s="2"/>
      <c r="Q6" s="2"/>
      <c r="R6" s="2"/>
      <c r="S6" s="2"/>
      <c r="T6" s="2"/>
      <c r="U6" s="2"/>
      <c r="V6" s="2"/>
      <c r="W6" s="2"/>
      <c r="X6" s="2"/>
      <c r="Y6" s="2"/>
      <c r="Z6" s="2"/>
    </row>
    <row r="7" ht="15.0" customHeight="1">
      <c r="A7" s="12" t="s">
        <v>18</v>
      </c>
      <c r="B7" s="14">
        <f>'Unit Economics &amp; Calendar'!C6</f>
        <v>0.15</v>
      </c>
      <c r="C7" s="1"/>
      <c r="D7" s="1"/>
      <c r="E7" s="1"/>
      <c r="F7" s="1"/>
      <c r="G7" s="2"/>
      <c r="H7" s="2"/>
      <c r="I7" s="2"/>
      <c r="J7" s="2"/>
      <c r="K7" s="2"/>
      <c r="L7" s="2"/>
      <c r="M7" s="2"/>
      <c r="N7" s="2"/>
      <c r="O7" s="2"/>
      <c r="P7" s="2"/>
      <c r="Q7" s="2"/>
      <c r="R7" s="2"/>
      <c r="S7" s="2"/>
      <c r="T7" s="2"/>
      <c r="U7" s="2"/>
      <c r="V7" s="2"/>
      <c r="W7" s="2"/>
      <c r="X7" s="2"/>
      <c r="Y7" s="2"/>
      <c r="Z7" s="2"/>
    </row>
    <row r="8" ht="15.0" customHeight="1">
      <c r="A8" s="12" t="s">
        <v>19</v>
      </c>
      <c r="B8" s="13">
        <f>'Unit Economics &amp; Calendar'!C7</f>
        <v>39</v>
      </c>
      <c r="C8" s="1"/>
      <c r="D8" s="1"/>
      <c r="E8" s="1"/>
      <c r="F8" s="1"/>
      <c r="G8" s="2"/>
      <c r="H8" s="2"/>
      <c r="I8" s="2"/>
      <c r="J8" s="2"/>
      <c r="K8" s="2"/>
      <c r="L8" s="2"/>
      <c r="M8" s="2"/>
      <c r="N8" s="2"/>
      <c r="O8" s="2"/>
      <c r="P8" s="2"/>
      <c r="Q8" s="2"/>
      <c r="R8" s="2"/>
      <c r="S8" s="2"/>
      <c r="T8" s="2"/>
      <c r="U8" s="2"/>
      <c r="V8" s="2"/>
      <c r="W8" s="2"/>
      <c r="X8" s="2"/>
      <c r="Y8" s="2"/>
      <c r="Z8" s="2"/>
    </row>
    <row r="9" ht="15.0" customHeight="1">
      <c r="A9" s="12" t="s">
        <v>20</v>
      </c>
      <c r="B9" s="13">
        <f>'Unit Economics &amp; Calendar'!C8</f>
        <v>29.25</v>
      </c>
      <c r="C9" s="1"/>
      <c r="D9" s="1"/>
      <c r="E9" s="1"/>
      <c r="F9" s="1"/>
      <c r="G9" s="2"/>
      <c r="H9" s="2"/>
      <c r="I9" s="2"/>
      <c r="J9" s="2"/>
      <c r="K9" s="2"/>
      <c r="L9" s="2"/>
      <c r="M9" s="2"/>
      <c r="N9" s="2"/>
      <c r="O9" s="2"/>
      <c r="P9" s="2"/>
      <c r="Q9" s="2"/>
      <c r="R9" s="2"/>
      <c r="S9" s="2"/>
      <c r="T9" s="2"/>
      <c r="U9" s="2"/>
      <c r="V9" s="2"/>
      <c r="W9" s="2"/>
      <c r="X9" s="2"/>
      <c r="Y9" s="2"/>
      <c r="Z9" s="2"/>
    </row>
    <row r="10">
      <c r="A10" s="1"/>
      <c r="B10" s="1"/>
      <c r="C10" s="1"/>
      <c r="D10" s="1"/>
      <c r="E10" s="1"/>
      <c r="F10" s="1"/>
      <c r="G10" s="2"/>
      <c r="H10" s="2"/>
      <c r="I10" s="2"/>
      <c r="J10" s="2"/>
      <c r="K10" s="2"/>
      <c r="L10" s="2"/>
      <c r="M10" s="2"/>
      <c r="N10" s="2"/>
      <c r="O10" s="2"/>
      <c r="P10" s="2"/>
      <c r="Q10" s="2"/>
      <c r="R10" s="2"/>
      <c r="S10" s="2"/>
      <c r="T10" s="2"/>
      <c r="U10" s="2"/>
      <c r="V10" s="2"/>
      <c r="W10" s="2"/>
      <c r="X10" s="2"/>
      <c r="Y10" s="2"/>
      <c r="Z10" s="2"/>
    </row>
    <row r="11" ht="15.0" customHeight="1">
      <c r="A11" s="11" t="s">
        <v>21</v>
      </c>
      <c r="B11" s="4"/>
      <c r="C11" s="4"/>
      <c r="D11" s="4"/>
      <c r="E11" s="4"/>
      <c r="F11" s="5"/>
      <c r="G11" s="2"/>
      <c r="H11" s="2"/>
      <c r="I11" s="2"/>
      <c r="J11" s="2"/>
      <c r="K11" s="2"/>
      <c r="L11" s="2"/>
      <c r="M11" s="2"/>
      <c r="N11" s="2"/>
      <c r="O11" s="2"/>
      <c r="P11" s="2"/>
      <c r="Q11" s="2"/>
      <c r="R11" s="2"/>
      <c r="S11" s="2"/>
      <c r="T11" s="2"/>
      <c r="U11" s="2"/>
      <c r="V11" s="2"/>
      <c r="W11" s="2"/>
      <c r="X11" s="2"/>
      <c r="Y11" s="2"/>
      <c r="Z11" s="2"/>
    </row>
    <row r="12" ht="15.0" customHeight="1">
      <c r="A12" s="12" t="s">
        <v>22</v>
      </c>
      <c r="B12" s="15">
        <f>SUM('Blended Summary'!B8:B13)</f>
        <v>3950800</v>
      </c>
      <c r="C12" s="1"/>
      <c r="D12" s="1"/>
      <c r="E12" s="1"/>
      <c r="F12" s="1"/>
      <c r="G12" s="2"/>
      <c r="H12" s="2"/>
      <c r="I12" s="2"/>
      <c r="J12" s="2"/>
      <c r="K12" s="2"/>
      <c r="L12" s="2"/>
      <c r="M12" s="2"/>
      <c r="N12" s="2"/>
      <c r="O12" s="2"/>
      <c r="P12" s="2"/>
      <c r="Q12" s="2"/>
      <c r="R12" s="2"/>
      <c r="S12" s="2"/>
      <c r="T12" s="2"/>
      <c r="U12" s="2"/>
      <c r="V12" s="2"/>
      <c r="W12" s="2"/>
      <c r="X12" s="2"/>
      <c r="Y12" s="2"/>
      <c r="Z12" s="2"/>
    </row>
    <row r="13" ht="15.0" customHeight="1">
      <c r="A13" s="12" t="s">
        <v>23</v>
      </c>
      <c r="B13" s="16">
        <f>SUM('Blended Summary'!C8:C13)</f>
        <v>171000</v>
      </c>
      <c r="C13" s="1"/>
      <c r="D13" s="1"/>
      <c r="E13" s="1"/>
      <c r="F13" s="1"/>
      <c r="G13" s="2"/>
      <c r="H13" s="2"/>
      <c r="I13" s="2"/>
      <c r="J13" s="2"/>
      <c r="K13" s="2"/>
      <c r="L13" s="2"/>
      <c r="M13" s="2"/>
      <c r="N13" s="2"/>
      <c r="O13" s="2"/>
      <c r="P13" s="2"/>
      <c r="Q13" s="2"/>
      <c r="R13" s="2"/>
      <c r="S13" s="2"/>
      <c r="T13" s="2"/>
      <c r="U13" s="2"/>
      <c r="V13" s="2"/>
      <c r="W13" s="2"/>
      <c r="X13" s="2"/>
      <c r="Y13" s="2"/>
      <c r="Z13" s="2"/>
    </row>
    <row r="14" ht="15.0" customHeight="1">
      <c r="A14" s="12" t="s">
        <v>24</v>
      </c>
      <c r="B14" s="15">
        <f>SUM('Blended Summary'!D8:D13)</f>
        <v>11115000</v>
      </c>
      <c r="C14" s="1"/>
      <c r="D14" s="1"/>
      <c r="E14" s="1"/>
      <c r="F14" s="1"/>
      <c r="G14" s="2"/>
      <c r="H14" s="2"/>
      <c r="I14" s="2"/>
      <c r="J14" s="2"/>
      <c r="K14" s="2"/>
      <c r="L14" s="2"/>
      <c r="M14" s="2"/>
      <c r="N14" s="2"/>
      <c r="O14" s="2"/>
      <c r="P14" s="2"/>
      <c r="Q14" s="2"/>
      <c r="R14" s="2"/>
      <c r="S14" s="2"/>
      <c r="T14" s="2"/>
      <c r="U14" s="2"/>
      <c r="V14" s="2"/>
      <c r="W14" s="2"/>
      <c r="X14" s="2"/>
      <c r="Y14" s="2"/>
      <c r="Z14" s="2"/>
    </row>
    <row r="15" ht="15.0" customHeight="1">
      <c r="A15" s="12" t="s">
        <v>25</v>
      </c>
      <c r="B15" s="15">
        <f>SUM('Monthly Data'!K2:K5)</f>
        <v>1137500</v>
      </c>
      <c r="C15" s="10" t="s">
        <v>26</v>
      </c>
      <c r="G15" s="2"/>
      <c r="H15" s="2"/>
      <c r="I15" s="2"/>
      <c r="J15" s="2"/>
      <c r="K15" s="2"/>
      <c r="L15" s="2"/>
      <c r="M15" s="2"/>
      <c r="N15" s="2"/>
      <c r="O15" s="2"/>
      <c r="P15" s="2"/>
      <c r="Q15" s="2"/>
      <c r="R15" s="2"/>
      <c r="S15" s="2"/>
      <c r="T15" s="2"/>
      <c r="U15" s="2"/>
      <c r="V15" s="2"/>
      <c r="W15" s="2"/>
      <c r="X15" s="2"/>
      <c r="Y15" s="2"/>
      <c r="Z15" s="2"/>
    </row>
    <row r="16" ht="15.0" customHeight="1">
      <c r="A16" s="12" t="s">
        <v>27</v>
      </c>
      <c r="B16" s="17">
        <f>B14-B15</f>
        <v>9977500</v>
      </c>
      <c r="C16" s="1"/>
      <c r="D16" s="1"/>
      <c r="E16" s="1"/>
      <c r="F16" s="1"/>
      <c r="G16" s="2"/>
      <c r="H16" s="2"/>
      <c r="I16" s="2"/>
      <c r="J16" s="2"/>
      <c r="K16" s="2"/>
      <c r="L16" s="2"/>
      <c r="M16" s="2"/>
      <c r="N16" s="2"/>
      <c r="O16" s="2"/>
      <c r="P16" s="2"/>
      <c r="Q16" s="2"/>
      <c r="R16" s="2"/>
      <c r="S16" s="2"/>
      <c r="T16" s="2"/>
      <c r="U16" s="2"/>
      <c r="V16" s="2"/>
      <c r="W16" s="2"/>
      <c r="X16" s="2"/>
      <c r="Y16" s="2"/>
      <c r="Z16" s="2"/>
    </row>
    <row r="17" ht="15.0" customHeight="1">
      <c r="A17" s="12" t="s">
        <v>28</v>
      </c>
      <c r="B17" s="18">
        <f>AVERAGE('Blended Summary'!H8:H13)</f>
        <v>1.016666667</v>
      </c>
      <c r="C17" s="1"/>
      <c r="D17" s="1"/>
      <c r="E17" s="1"/>
      <c r="F17" s="1"/>
      <c r="G17" s="2"/>
      <c r="H17" s="2"/>
      <c r="I17" s="2"/>
      <c r="J17" s="2"/>
      <c r="K17" s="2"/>
      <c r="L17" s="2"/>
      <c r="M17" s="2"/>
      <c r="N17" s="2"/>
      <c r="O17" s="2"/>
      <c r="P17" s="2"/>
      <c r="Q17" s="2"/>
      <c r="R17" s="2"/>
      <c r="S17" s="2"/>
      <c r="T17" s="2"/>
      <c r="U17" s="2"/>
      <c r="V17" s="2"/>
      <c r="W17" s="2"/>
      <c r="X17" s="2"/>
      <c r="Y17" s="2"/>
      <c r="Z17" s="2"/>
    </row>
    <row r="18" ht="15.0" customHeight="1">
      <c r="A18" s="19" t="s">
        <v>29</v>
      </c>
      <c r="B18" s="20">
        <v>0.2</v>
      </c>
      <c r="C18" s="1"/>
      <c r="D18" s="1"/>
      <c r="E18" s="1"/>
      <c r="F18" s="1"/>
      <c r="G18" s="2"/>
      <c r="H18" s="2"/>
      <c r="I18" s="2"/>
      <c r="J18" s="2"/>
      <c r="K18" s="2"/>
      <c r="L18" s="2"/>
      <c r="M18" s="2"/>
      <c r="N18" s="2"/>
      <c r="O18" s="2"/>
      <c r="P18" s="2"/>
      <c r="Q18" s="2"/>
      <c r="R18" s="2"/>
      <c r="S18" s="2"/>
      <c r="T18" s="2"/>
      <c r="U18" s="2"/>
      <c r="V18" s="2"/>
      <c r="W18" s="2"/>
      <c r="X18" s="2"/>
      <c r="Y18" s="2"/>
      <c r="Z18" s="2"/>
    </row>
    <row r="19" ht="15.0" customHeight="1">
      <c r="A19" s="19" t="s">
        <v>30</v>
      </c>
      <c r="B19" s="21">
        <f>B14*(1+B18)</f>
        <v>13338000</v>
      </c>
      <c r="C19" s="1"/>
      <c r="D19" s="1"/>
      <c r="E19" s="1"/>
      <c r="F19" s="1"/>
      <c r="G19" s="2"/>
      <c r="H19" s="2"/>
      <c r="I19" s="2"/>
      <c r="J19" s="2"/>
      <c r="K19" s="2"/>
      <c r="L19" s="2"/>
      <c r="M19" s="2"/>
      <c r="N19" s="2"/>
      <c r="O19" s="2"/>
      <c r="P19" s="2"/>
      <c r="Q19" s="2"/>
      <c r="R19" s="2"/>
      <c r="S19" s="2"/>
      <c r="T19" s="2"/>
      <c r="U19" s="2"/>
      <c r="V19" s="2"/>
      <c r="W19" s="2"/>
      <c r="X19" s="2"/>
      <c r="Y19" s="2"/>
      <c r="Z19" s="2"/>
    </row>
    <row r="20">
      <c r="A20" s="1"/>
      <c r="B20" s="1"/>
      <c r="C20" s="1"/>
      <c r="D20" s="1"/>
      <c r="E20" s="1"/>
      <c r="F20" s="1"/>
      <c r="G20" s="2"/>
      <c r="H20" s="2"/>
      <c r="I20" s="2"/>
      <c r="J20" s="2"/>
      <c r="K20" s="2"/>
      <c r="L20" s="2"/>
      <c r="M20" s="2"/>
      <c r="N20" s="2"/>
      <c r="O20" s="2"/>
      <c r="P20" s="2"/>
      <c r="Q20" s="2"/>
      <c r="R20" s="2"/>
      <c r="S20" s="2"/>
      <c r="T20" s="2"/>
      <c r="U20" s="2"/>
      <c r="V20" s="2"/>
      <c r="W20" s="2"/>
      <c r="X20" s="2"/>
      <c r="Y20" s="2"/>
      <c r="Z20" s="2"/>
    </row>
    <row r="21" ht="15.0" customHeight="1">
      <c r="A21" s="11" t="s">
        <v>31</v>
      </c>
      <c r="B21" s="4"/>
      <c r="C21" s="4"/>
      <c r="D21" s="4"/>
      <c r="E21" s="4"/>
      <c r="F21" s="5"/>
      <c r="G21" s="2"/>
      <c r="H21" s="2"/>
      <c r="I21" s="2"/>
      <c r="J21" s="2"/>
      <c r="K21" s="2"/>
      <c r="L21" s="2"/>
      <c r="M21" s="2"/>
      <c r="N21" s="2"/>
      <c r="O21" s="2"/>
      <c r="P21" s="2"/>
      <c r="Q21" s="2"/>
      <c r="R21" s="2"/>
      <c r="S21" s="2"/>
      <c r="T21" s="2"/>
      <c r="U21" s="2"/>
      <c r="V21" s="2"/>
      <c r="W21" s="2"/>
      <c r="X21" s="2"/>
      <c r="Y21" s="2"/>
      <c r="Z21" s="2"/>
    </row>
    <row r="22" ht="15.0" customHeight="1">
      <c r="A22" s="12" t="s">
        <v>32</v>
      </c>
      <c r="B22" s="18">
        <f>'Unit Economics &amp; Calendar'!C15</f>
        <v>0.85</v>
      </c>
      <c r="C22" s="1"/>
      <c r="D22" s="1"/>
      <c r="E22" s="1"/>
      <c r="F22" s="1"/>
      <c r="G22" s="2"/>
      <c r="H22" s="2"/>
      <c r="I22" s="2"/>
      <c r="J22" s="2"/>
      <c r="K22" s="2"/>
      <c r="L22" s="2"/>
      <c r="M22" s="2"/>
      <c r="N22" s="2"/>
      <c r="O22" s="2"/>
      <c r="P22" s="2"/>
      <c r="Q22" s="2"/>
      <c r="R22" s="2"/>
      <c r="S22" s="2"/>
      <c r="T22" s="2"/>
      <c r="U22" s="2"/>
      <c r="V22" s="2"/>
      <c r="W22" s="2"/>
      <c r="X22" s="2"/>
      <c r="Y22" s="2"/>
      <c r="Z22" s="2"/>
    </row>
    <row r="23" ht="15.0" customHeight="1">
      <c r="A23" s="12" t="s">
        <v>33</v>
      </c>
      <c r="B23" s="18">
        <f>'Unit Economics &amp; Calendar'!C16</f>
        <v>0.9</v>
      </c>
      <c r="C23" s="1"/>
      <c r="D23" s="1"/>
      <c r="E23" s="1"/>
      <c r="F23" s="1"/>
      <c r="G23" s="2"/>
      <c r="H23" s="2"/>
      <c r="I23" s="2"/>
      <c r="J23" s="2"/>
      <c r="K23" s="2"/>
      <c r="L23" s="2"/>
      <c r="M23" s="2"/>
      <c r="N23" s="2"/>
      <c r="O23" s="2"/>
      <c r="P23" s="2"/>
      <c r="Q23" s="2"/>
      <c r="R23" s="2"/>
      <c r="S23" s="2"/>
      <c r="T23" s="2"/>
      <c r="U23" s="2"/>
      <c r="V23" s="2"/>
      <c r="W23" s="2"/>
      <c r="X23" s="2"/>
      <c r="Y23" s="2"/>
      <c r="Z23" s="2"/>
    </row>
    <row r="24" ht="15.0" customHeight="1">
      <c r="A24" s="12" t="s">
        <v>34</v>
      </c>
      <c r="B24" s="18">
        <f>'Unit Economics &amp; Calendar'!C17</f>
        <v>0.95</v>
      </c>
      <c r="C24" s="1"/>
      <c r="D24" s="1"/>
      <c r="E24" s="1"/>
      <c r="F24" s="1"/>
      <c r="G24" s="2"/>
      <c r="H24" s="2"/>
      <c r="I24" s="2"/>
      <c r="J24" s="2"/>
      <c r="K24" s="2"/>
      <c r="L24" s="2"/>
      <c r="M24" s="2"/>
      <c r="N24" s="2"/>
      <c r="O24" s="2"/>
      <c r="P24" s="2"/>
      <c r="Q24" s="2"/>
      <c r="R24" s="2"/>
      <c r="S24" s="2"/>
      <c r="T24" s="2"/>
      <c r="U24" s="2"/>
      <c r="V24" s="2"/>
      <c r="W24" s="2"/>
      <c r="X24" s="2"/>
      <c r="Y24" s="2"/>
      <c r="Z24" s="2"/>
    </row>
    <row r="25" ht="15.0" customHeight="1">
      <c r="A25" s="12" t="s">
        <v>35</v>
      </c>
      <c r="B25" s="18">
        <f>'Unit Economics &amp; Calendar'!C18</f>
        <v>1.05</v>
      </c>
      <c r="C25" s="1"/>
      <c r="D25" s="1"/>
      <c r="E25" s="1"/>
      <c r="F25" s="1"/>
      <c r="G25" s="2"/>
      <c r="H25" s="2"/>
      <c r="I25" s="2"/>
      <c r="J25" s="2"/>
      <c r="K25" s="2"/>
      <c r="L25" s="2"/>
      <c r="M25" s="2"/>
      <c r="N25" s="2"/>
      <c r="O25" s="2"/>
      <c r="P25" s="2"/>
      <c r="Q25" s="2"/>
      <c r="R25" s="2"/>
      <c r="S25" s="2"/>
      <c r="T25" s="2"/>
      <c r="U25" s="2"/>
      <c r="V25" s="2"/>
      <c r="W25" s="2"/>
      <c r="X25" s="2"/>
      <c r="Y25" s="2"/>
      <c r="Z25" s="2"/>
    </row>
    <row r="26" ht="15.0" customHeight="1">
      <c r="A26" s="12" t="s">
        <v>36</v>
      </c>
      <c r="B26" s="18">
        <f>'Unit Economics &amp; Calendar'!C19</f>
        <v>1.5</v>
      </c>
      <c r="C26" s="1"/>
      <c r="D26" s="1"/>
      <c r="E26" s="1"/>
      <c r="F26" s="1"/>
      <c r="G26" s="2"/>
      <c r="H26" s="2"/>
      <c r="I26" s="2"/>
      <c r="J26" s="2"/>
      <c r="K26" s="2"/>
      <c r="L26" s="2"/>
      <c r="M26" s="2"/>
      <c r="N26" s="2"/>
      <c r="O26" s="2"/>
      <c r="P26" s="2"/>
      <c r="Q26" s="2"/>
      <c r="R26" s="2"/>
      <c r="S26" s="2"/>
      <c r="T26" s="2"/>
      <c r="U26" s="2"/>
      <c r="V26" s="2"/>
      <c r="W26" s="2"/>
      <c r="X26" s="2"/>
      <c r="Y26" s="2"/>
      <c r="Z26" s="2"/>
    </row>
    <row r="27" ht="15.0" customHeight="1">
      <c r="A27" s="12" t="s">
        <v>37</v>
      </c>
      <c r="B27" s="18">
        <f>'Unit Economics &amp; Calendar'!C20</f>
        <v>1.7</v>
      </c>
      <c r="C27" s="1"/>
      <c r="D27" s="1"/>
      <c r="E27" s="1"/>
      <c r="F27" s="1"/>
      <c r="G27" s="2"/>
      <c r="H27" s="2"/>
      <c r="I27" s="2"/>
      <c r="J27" s="2"/>
      <c r="K27" s="2"/>
      <c r="L27" s="2"/>
      <c r="M27" s="2"/>
      <c r="N27" s="2"/>
      <c r="O27" s="2"/>
      <c r="P27" s="2"/>
      <c r="Q27" s="2"/>
      <c r="R27" s="2"/>
      <c r="S27" s="2"/>
      <c r="T27" s="2"/>
      <c r="U27" s="2"/>
      <c r="V27" s="2"/>
      <c r="W27" s="2"/>
      <c r="X27" s="2"/>
      <c r="Y27" s="2"/>
      <c r="Z27" s="2"/>
    </row>
    <row r="28" ht="15.0" customHeight="1">
      <c r="A28" s="12" t="s">
        <v>38</v>
      </c>
      <c r="B28" s="22">
        <f>AVERAGE(B22:B27)</f>
        <v>1.158333333</v>
      </c>
      <c r="C28" s="1"/>
      <c r="D28" s="1"/>
      <c r="E28" s="1"/>
      <c r="F28" s="1"/>
      <c r="G28" s="2"/>
      <c r="H28" s="2"/>
      <c r="I28" s="2"/>
      <c r="J28" s="2"/>
      <c r="K28" s="2"/>
      <c r="L28" s="2"/>
      <c r="M28" s="2"/>
      <c r="N28" s="2"/>
      <c r="O28" s="2"/>
      <c r="P28" s="2"/>
      <c r="Q28" s="2"/>
      <c r="R28" s="2"/>
      <c r="S28" s="2"/>
      <c r="T28" s="2"/>
      <c r="U28" s="2"/>
      <c r="V28" s="2"/>
      <c r="W28" s="2"/>
      <c r="X28" s="2"/>
      <c r="Y28" s="2"/>
      <c r="Z28" s="2"/>
    </row>
    <row r="29" ht="15.75" customHeight="1">
      <c r="A29" s="1"/>
      <c r="B29" s="1"/>
      <c r="C29" s="1"/>
      <c r="D29" s="1"/>
      <c r="E29" s="1"/>
      <c r="F29" s="1"/>
      <c r="G29" s="2"/>
      <c r="H29" s="2"/>
      <c r="I29" s="2"/>
      <c r="J29" s="2"/>
      <c r="K29" s="2"/>
      <c r="L29" s="2"/>
      <c r="M29" s="2"/>
      <c r="N29" s="2"/>
      <c r="O29" s="2"/>
      <c r="P29" s="2"/>
      <c r="Q29" s="2"/>
      <c r="R29" s="2"/>
      <c r="S29" s="2"/>
      <c r="T29" s="2"/>
      <c r="U29" s="2"/>
      <c r="V29" s="2"/>
      <c r="W29" s="2"/>
      <c r="X29" s="2"/>
      <c r="Y29" s="2"/>
      <c r="Z29" s="2"/>
    </row>
    <row r="30" ht="15.0" customHeight="1">
      <c r="A30" s="11" t="s">
        <v>39</v>
      </c>
      <c r="B30" s="4"/>
      <c r="C30" s="4"/>
      <c r="D30" s="4"/>
      <c r="E30" s="4"/>
      <c r="F30" s="5"/>
      <c r="G30" s="2"/>
      <c r="H30" s="2"/>
      <c r="I30" s="2"/>
      <c r="J30" s="2"/>
      <c r="K30" s="2"/>
      <c r="L30" s="2"/>
      <c r="M30" s="2"/>
      <c r="N30" s="2"/>
      <c r="O30" s="2"/>
      <c r="P30" s="2"/>
      <c r="Q30" s="2"/>
      <c r="R30" s="2"/>
      <c r="S30" s="2"/>
      <c r="T30" s="2"/>
      <c r="U30" s="2"/>
      <c r="V30" s="2"/>
      <c r="W30" s="2"/>
      <c r="X30" s="2"/>
      <c r="Y30" s="2"/>
      <c r="Z30" s="2"/>
    </row>
    <row r="31" ht="45.75" customHeight="1">
      <c r="A31" s="23" t="s">
        <v>40</v>
      </c>
      <c r="B31" s="23" t="s">
        <v>41</v>
      </c>
      <c r="C31" s="23" t="s">
        <v>42</v>
      </c>
      <c r="D31" s="23" t="s">
        <v>43</v>
      </c>
      <c r="G31" s="2"/>
      <c r="H31" s="2"/>
      <c r="I31" s="2"/>
      <c r="J31" s="2"/>
      <c r="K31" s="2"/>
      <c r="L31" s="2"/>
      <c r="M31" s="2"/>
      <c r="N31" s="2"/>
      <c r="O31" s="2"/>
      <c r="P31" s="2"/>
      <c r="Q31" s="2"/>
      <c r="R31" s="2"/>
      <c r="S31" s="2"/>
      <c r="T31" s="2"/>
      <c r="U31" s="2"/>
      <c r="V31" s="2"/>
      <c r="W31" s="2"/>
      <c r="X31" s="2"/>
      <c r="Y31" s="2"/>
      <c r="Z31" s="2"/>
    </row>
    <row r="32" ht="27.75" customHeight="1">
      <c r="A32" s="19" t="s">
        <v>44</v>
      </c>
      <c r="B32" s="24">
        <v>1.0</v>
      </c>
      <c r="C32" s="25">
        <v>0.0</v>
      </c>
      <c r="D32" s="10" t="s">
        <v>45</v>
      </c>
      <c r="G32" s="2"/>
      <c r="H32" s="2"/>
      <c r="I32" s="2"/>
      <c r="J32" s="2"/>
      <c r="K32" s="2"/>
      <c r="L32" s="2"/>
      <c r="M32" s="2"/>
      <c r="N32" s="2"/>
      <c r="O32" s="2"/>
      <c r="P32" s="2"/>
      <c r="Q32" s="2"/>
      <c r="R32" s="2"/>
      <c r="S32" s="2"/>
      <c r="T32" s="2"/>
      <c r="U32" s="2"/>
      <c r="V32" s="2"/>
      <c r="W32" s="2"/>
      <c r="X32" s="2"/>
      <c r="Y32" s="2"/>
      <c r="Z32" s="2"/>
    </row>
    <row r="33" ht="27.75" customHeight="1">
      <c r="A33" s="19" t="s">
        <v>46</v>
      </c>
      <c r="B33" s="24">
        <v>1.15</v>
      </c>
      <c r="C33" s="25">
        <v>0.0</v>
      </c>
      <c r="D33" s="10" t="s">
        <v>47</v>
      </c>
      <c r="G33" s="2"/>
      <c r="H33" s="2"/>
      <c r="I33" s="2"/>
      <c r="J33" s="2"/>
      <c r="K33" s="2"/>
      <c r="L33" s="2"/>
      <c r="M33" s="2"/>
      <c r="N33" s="2"/>
      <c r="O33" s="2"/>
      <c r="P33" s="2"/>
      <c r="Q33" s="2"/>
      <c r="R33" s="2"/>
      <c r="S33" s="2"/>
      <c r="T33" s="2"/>
      <c r="U33" s="2"/>
      <c r="V33" s="2"/>
      <c r="W33" s="2"/>
      <c r="X33" s="2"/>
      <c r="Y33" s="2"/>
      <c r="Z33" s="2"/>
    </row>
    <row r="34" ht="27.75" customHeight="1">
      <c r="A34" s="19" t="s">
        <v>48</v>
      </c>
      <c r="B34" s="24">
        <v>1.1</v>
      </c>
      <c r="C34" s="25">
        <v>0.08</v>
      </c>
      <c r="D34" s="10" t="s">
        <v>49</v>
      </c>
      <c r="G34" s="2"/>
      <c r="H34" s="2"/>
      <c r="I34" s="2"/>
      <c r="J34" s="2"/>
      <c r="K34" s="2"/>
      <c r="L34" s="2"/>
      <c r="M34" s="2"/>
      <c r="N34" s="2"/>
      <c r="O34" s="2"/>
      <c r="P34" s="2"/>
      <c r="Q34" s="2"/>
      <c r="R34" s="2"/>
      <c r="S34" s="2"/>
      <c r="T34" s="2"/>
      <c r="U34" s="2"/>
      <c r="V34" s="2"/>
      <c r="W34" s="2"/>
      <c r="X34" s="2"/>
      <c r="Y34" s="2"/>
      <c r="Z34" s="2"/>
    </row>
    <row r="35" ht="27.75" customHeight="1">
      <c r="A35" s="19" t="s">
        <v>50</v>
      </c>
      <c r="B35" s="24">
        <v>1.0</v>
      </c>
      <c r="C35" s="25">
        <v>0.0</v>
      </c>
      <c r="D35" s="10" t="s">
        <v>51</v>
      </c>
      <c r="G35" s="2"/>
      <c r="H35" s="2"/>
      <c r="I35" s="2"/>
      <c r="J35" s="2"/>
      <c r="K35" s="2"/>
      <c r="L35" s="2"/>
      <c r="M35" s="2"/>
      <c r="N35" s="2"/>
      <c r="O35" s="2"/>
      <c r="P35" s="2"/>
      <c r="Q35" s="2"/>
      <c r="R35" s="2"/>
      <c r="S35" s="2"/>
      <c r="T35" s="2"/>
      <c r="U35" s="2"/>
      <c r="V35" s="2"/>
      <c r="W35" s="2"/>
      <c r="X35" s="2"/>
      <c r="Y35" s="2"/>
      <c r="Z35" s="2"/>
    </row>
    <row r="36" ht="15.75" customHeight="1">
      <c r="A36" s="1"/>
      <c r="B36" s="1"/>
      <c r="C36" s="1"/>
      <c r="D36" s="1"/>
      <c r="E36" s="1"/>
      <c r="F36" s="1"/>
      <c r="G36" s="2"/>
      <c r="H36" s="2"/>
      <c r="I36" s="2"/>
      <c r="J36" s="2"/>
      <c r="K36" s="2"/>
      <c r="L36" s="2"/>
      <c r="M36" s="2"/>
      <c r="N36" s="2"/>
      <c r="O36" s="2"/>
      <c r="P36" s="2"/>
      <c r="Q36" s="2"/>
      <c r="R36" s="2"/>
      <c r="S36" s="2"/>
      <c r="T36" s="2"/>
      <c r="U36" s="2"/>
      <c r="V36" s="2"/>
      <c r="W36" s="2"/>
      <c r="X36" s="2"/>
      <c r="Y36" s="2"/>
      <c r="Z36" s="2"/>
    </row>
    <row r="37" ht="15.0" customHeight="1">
      <c r="A37" s="11" t="s">
        <v>52</v>
      </c>
      <c r="B37" s="4"/>
      <c r="C37" s="4"/>
      <c r="D37" s="4"/>
      <c r="E37" s="4"/>
      <c r="F37" s="5"/>
      <c r="G37" s="2"/>
      <c r="H37" s="2"/>
      <c r="I37" s="2"/>
      <c r="J37" s="2"/>
      <c r="K37" s="2"/>
      <c r="L37" s="2"/>
      <c r="M37" s="2"/>
      <c r="N37" s="2"/>
      <c r="O37" s="2"/>
      <c r="P37" s="2"/>
      <c r="Q37" s="2"/>
      <c r="R37" s="2"/>
      <c r="S37" s="2"/>
      <c r="T37" s="2"/>
      <c r="U37" s="2"/>
      <c r="V37" s="2"/>
      <c r="W37" s="2"/>
      <c r="X37" s="2"/>
      <c r="Y37" s="2"/>
      <c r="Z37" s="2"/>
    </row>
    <row r="38" ht="15.0" customHeight="1">
      <c r="A38" s="12" t="s">
        <v>53</v>
      </c>
      <c r="B38" s="20">
        <v>0.1</v>
      </c>
      <c r="C38" s="1"/>
      <c r="D38" s="1"/>
      <c r="E38" s="1"/>
      <c r="F38" s="1"/>
      <c r="G38" s="2"/>
      <c r="H38" s="2"/>
      <c r="I38" s="2"/>
      <c r="J38" s="2"/>
      <c r="K38" s="2"/>
      <c r="L38" s="2"/>
      <c r="M38" s="2"/>
      <c r="N38" s="2"/>
      <c r="O38" s="2"/>
      <c r="P38" s="2"/>
      <c r="Q38" s="2"/>
      <c r="R38" s="2"/>
      <c r="S38" s="2"/>
      <c r="T38" s="2"/>
      <c r="U38" s="2"/>
      <c r="V38" s="2"/>
      <c r="W38" s="2"/>
      <c r="X38" s="2"/>
      <c r="Y38" s="2"/>
      <c r="Z38" s="2"/>
    </row>
    <row r="39" ht="15.0" customHeight="1">
      <c r="A39" s="12" t="s">
        <v>54</v>
      </c>
      <c r="B39" s="26">
        <v>0.05</v>
      </c>
      <c r="C39" s="10" t="s">
        <v>55</v>
      </c>
      <c r="G39" s="2"/>
      <c r="H39" s="2"/>
      <c r="I39" s="2"/>
      <c r="J39" s="2"/>
      <c r="K39" s="2"/>
      <c r="L39" s="2"/>
      <c r="M39" s="2"/>
      <c r="N39" s="2"/>
      <c r="O39" s="2"/>
      <c r="P39" s="2"/>
      <c r="Q39" s="2"/>
      <c r="R39" s="2"/>
      <c r="S39" s="2"/>
      <c r="T39" s="2"/>
      <c r="U39" s="2"/>
      <c r="V39" s="2"/>
      <c r="W39" s="2"/>
      <c r="X39" s="2"/>
      <c r="Y39" s="2"/>
      <c r="Z39" s="2"/>
    </row>
    <row r="40" ht="15.0" customHeight="1">
      <c r="A40" s="12" t="s">
        <v>56</v>
      </c>
      <c r="B40" s="26">
        <v>0.005</v>
      </c>
      <c r="C40" s="10" t="s">
        <v>57</v>
      </c>
      <c r="G40" s="2"/>
      <c r="H40" s="2"/>
      <c r="I40" s="2"/>
      <c r="J40" s="2"/>
      <c r="K40" s="2"/>
      <c r="L40" s="2"/>
      <c r="M40" s="2"/>
      <c r="N40" s="2"/>
      <c r="O40" s="2"/>
      <c r="P40" s="2"/>
      <c r="Q40" s="2"/>
      <c r="R40" s="2"/>
      <c r="S40" s="2"/>
      <c r="T40" s="2"/>
      <c r="U40" s="2"/>
      <c r="V40" s="2"/>
      <c r="W40" s="2"/>
      <c r="X40" s="2"/>
      <c r="Y40" s="2"/>
      <c r="Z40" s="2"/>
    </row>
    <row r="41" ht="15.75" customHeight="1">
      <c r="A41" s="1"/>
      <c r="B41" s="1"/>
      <c r="C41" s="1"/>
      <c r="D41" s="1"/>
      <c r="E41" s="1"/>
      <c r="F41" s="1"/>
      <c r="G41" s="2"/>
      <c r="H41" s="2"/>
      <c r="I41" s="2"/>
      <c r="J41" s="2"/>
      <c r="K41" s="2"/>
      <c r="L41" s="2"/>
      <c r="M41" s="2"/>
      <c r="N41" s="2"/>
      <c r="O41" s="2"/>
      <c r="P41" s="2"/>
      <c r="Q41" s="2"/>
      <c r="R41" s="2"/>
      <c r="S41" s="2"/>
      <c r="T41" s="2"/>
      <c r="U41" s="2"/>
      <c r="V41" s="2"/>
      <c r="W41" s="2"/>
      <c r="X41" s="2"/>
      <c r="Y41" s="2"/>
      <c r="Z41" s="2"/>
    </row>
    <row r="42" ht="15.0" customHeight="1">
      <c r="A42" s="11" t="s">
        <v>58</v>
      </c>
      <c r="B42" s="4"/>
      <c r="C42" s="4"/>
      <c r="D42" s="4"/>
      <c r="E42" s="4"/>
      <c r="F42" s="5"/>
      <c r="G42" s="2"/>
      <c r="H42" s="2"/>
      <c r="I42" s="2"/>
      <c r="J42" s="2"/>
      <c r="K42" s="2"/>
      <c r="L42" s="2"/>
      <c r="M42" s="2"/>
      <c r="N42" s="2"/>
      <c r="O42" s="2"/>
      <c r="P42" s="2"/>
      <c r="Q42" s="2"/>
      <c r="R42" s="2"/>
      <c r="S42" s="2"/>
      <c r="T42" s="2"/>
      <c r="U42" s="2"/>
      <c r="V42" s="2"/>
      <c r="W42" s="2"/>
      <c r="X42" s="2"/>
      <c r="Y42" s="2"/>
      <c r="Z42" s="2"/>
    </row>
    <row r="43" ht="15.0" customHeight="1">
      <c r="A43" s="12" t="s">
        <v>59</v>
      </c>
      <c r="B43" s="20">
        <v>0.15</v>
      </c>
      <c r="C43" s="1"/>
      <c r="D43" s="1"/>
      <c r="E43" s="1"/>
      <c r="F43" s="1"/>
      <c r="G43" s="2"/>
      <c r="H43" s="2"/>
      <c r="I43" s="2"/>
      <c r="J43" s="2"/>
      <c r="K43" s="2"/>
      <c r="L43" s="2"/>
      <c r="M43" s="2"/>
      <c r="N43" s="2"/>
      <c r="O43" s="2"/>
      <c r="P43" s="2"/>
      <c r="Q43" s="2"/>
      <c r="R43" s="2"/>
      <c r="S43" s="2"/>
      <c r="T43" s="2"/>
      <c r="U43" s="2"/>
      <c r="V43" s="2"/>
      <c r="W43" s="2"/>
      <c r="X43" s="2"/>
      <c r="Y43" s="2"/>
      <c r="Z43" s="2"/>
    </row>
    <row r="44" ht="15.0" customHeight="1">
      <c r="A44" s="12" t="s">
        <v>60</v>
      </c>
      <c r="B44" s="20">
        <v>0.35</v>
      </c>
      <c r="C44" s="1"/>
      <c r="D44" s="1"/>
      <c r="E44" s="1"/>
      <c r="F44" s="1"/>
      <c r="G44" s="2"/>
      <c r="H44" s="2"/>
      <c r="I44" s="2"/>
      <c r="J44" s="2"/>
      <c r="K44" s="2"/>
      <c r="L44" s="2"/>
      <c r="M44" s="2"/>
      <c r="N44" s="2"/>
      <c r="O44" s="2"/>
      <c r="P44" s="2"/>
      <c r="Q44" s="2"/>
      <c r="R44" s="2"/>
      <c r="S44" s="2"/>
      <c r="T44" s="2"/>
      <c r="U44" s="2"/>
      <c r="V44" s="2"/>
      <c r="W44" s="2"/>
      <c r="X44" s="2"/>
      <c r="Y44" s="2"/>
      <c r="Z44" s="2"/>
    </row>
    <row r="45" ht="15.75" customHeight="1">
      <c r="A45" s="1"/>
      <c r="B45" s="1"/>
      <c r="C45" s="1"/>
      <c r="D45" s="1"/>
      <c r="E45" s="1"/>
      <c r="F45" s="1"/>
      <c r="G45" s="2"/>
      <c r="H45" s="2"/>
      <c r="I45" s="2"/>
      <c r="J45" s="2"/>
      <c r="K45" s="2"/>
      <c r="L45" s="2"/>
      <c r="M45" s="2"/>
      <c r="N45" s="2"/>
      <c r="O45" s="2"/>
      <c r="P45" s="2"/>
      <c r="Q45" s="2"/>
      <c r="R45" s="2"/>
      <c r="S45" s="2"/>
      <c r="T45" s="2"/>
      <c r="U45" s="2"/>
      <c r="V45" s="2"/>
      <c r="W45" s="2"/>
      <c r="X45" s="2"/>
      <c r="Y45" s="2"/>
      <c r="Z45" s="2"/>
    </row>
    <row r="46" ht="15.75" customHeight="1">
      <c r="A46" s="1"/>
      <c r="B46" s="1"/>
      <c r="C46" s="1"/>
      <c r="D46" s="1"/>
      <c r="E46" s="1"/>
      <c r="F46" s="1"/>
      <c r="G46" s="2"/>
      <c r="H46" s="2"/>
      <c r="I46" s="2"/>
      <c r="J46" s="2"/>
      <c r="K46" s="2"/>
      <c r="L46" s="2"/>
      <c r="M46" s="2"/>
      <c r="N46" s="2"/>
      <c r="O46" s="2"/>
      <c r="P46" s="2"/>
      <c r="Q46" s="2"/>
      <c r="R46" s="2"/>
      <c r="S46" s="2"/>
      <c r="T46" s="2"/>
      <c r="U46" s="2"/>
      <c r="V46" s="2"/>
      <c r="W46" s="2"/>
      <c r="X46" s="2"/>
      <c r="Y46" s="2"/>
      <c r="Z46" s="2"/>
    </row>
    <row r="47" ht="15.75" customHeight="1">
      <c r="A47" s="1"/>
      <c r="B47" s="1"/>
      <c r="C47" s="1"/>
      <c r="D47" s="1"/>
      <c r="E47" s="1"/>
      <c r="F47" s="1"/>
      <c r="G47" s="2"/>
      <c r="H47" s="2"/>
      <c r="I47" s="2"/>
      <c r="J47" s="2"/>
      <c r="K47" s="2"/>
      <c r="L47" s="2"/>
      <c r="M47" s="2"/>
      <c r="N47" s="2"/>
      <c r="O47" s="2"/>
      <c r="P47" s="2"/>
      <c r="Q47" s="2"/>
      <c r="R47" s="2"/>
      <c r="S47" s="2"/>
      <c r="T47" s="2"/>
      <c r="U47" s="2"/>
      <c r="V47" s="2"/>
      <c r="W47" s="2"/>
      <c r="X47" s="2"/>
      <c r="Y47" s="2"/>
      <c r="Z47" s="2"/>
    </row>
    <row r="48" ht="15.75" customHeight="1">
      <c r="A48" s="1"/>
      <c r="B48" s="1"/>
      <c r="C48" s="1"/>
      <c r="D48" s="1"/>
      <c r="E48" s="1"/>
      <c r="F48" s="1"/>
      <c r="G48" s="2"/>
      <c r="H48" s="2"/>
      <c r="I48" s="2"/>
      <c r="J48" s="2"/>
      <c r="K48" s="2"/>
      <c r="L48" s="2"/>
      <c r="M48" s="2"/>
      <c r="N48" s="2"/>
      <c r="O48" s="2"/>
      <c r="P48" s="2"/>
      <c r="Q48" s="2"/>
      <c r="R48" s="2"/>
      <c r="S48" s="2"/>
      <c r="T48" s="2"/>
      <c r="U48" s="2"/>
      <c r="V48" s="2"/>
      <c r="W48" s="2"/>
      <c r="X48" s="2"/>
      <c r="Y48" s="2"/>
      <c r="Z48" s="2"/>
    </row>
    <row r="49" ht="15.75" customHeight="1">
      <c r="A49" s="1"/>
      <c r="B49" s="1"/>
      <c r="C49" s="1"/>
      <c r="D49" s="1"/>
      <c r="E49" s="1"/>
      <c r="F49" s="1"/>
      <c r="G49" s="2"/>
      <c r="H49" s="2"/>
      <c r="I49" s="2"/>
      <c r="J49" s="2"/>
      <c r="K49" s="2"/>
      <c r="L49" s="2"/>
      <c r="M49" s="2"/>
      <c r="N49" s="2"/>
      <c r="O49" s="2"/>
      <c r="P49" s="2"/>
      <c r="Q49" s="2"/>
      <c r="R49" s="2"/>
      <c r="S49" s="2"/>
      <c r="T49" s="2"/>
      <c r="U49" s="2"/>
      <c r="V49" s="2"/>
      <c r="W49" s="2"/>
      <c r="X49" s="2"/>
      <c r="Y49" s="2"/>
      <c r="Z49" s="2"/>
    </row>
    <row r="50" ht="15.75" customHeight="1">
      <c r="A50" s="1"/>
      <c r="B50" s="1"/>
      <c r="C50" s="1"/>
      <c r="D50" s="1"/>
      <c r="E50" s="1"/>
      <c r="F50" s="1"/>
      <c r="G50" s="2"/>
      <c r="H50" s="2"/>
      <c r="I50" s="2"/>
      <c r="J50" s="2"/>
      <c r="K50" s="2"/>
      <c r="L50" s="2"/>
      <c r="M50" s="2"/>
      <c r="N50" s="2"/>
      <c r="O50" s="2"/>
      <c r="P50" s="2"/>
      <c r="Q50" s="2"/>
      <c r="R50" s="2"/>
      <c r="S50" s="2"/>
      <c r="T50" s="2"/>
      <c r="U50" s="2"/>
      <c r="V50" s="2"/>
      <c r="W50" s="2"/>
      <c r="X50" s="2"/>
      <c r="Y50" s="2"/>
      <c r="Z50" s="2"/>
    </row>
    <row r="51" ht="15.75" customHeight="1">
      <c r="A51" s="1"/>
      <c r="B51" s="1"/>
      <c r="C51" s="1"/>
      <c r="D51" s="1"/>
      <c r="E51" s="1"/>
      <c r="F51" s="1"/>
      <c r="G51" s="2"/>
      <c r="H51" s="2"/>
      <c r="I51" s="2"/>
      <c r="J51" s="2"/>
      <c r="K51" s="2"/>
      <c r="L51" s="2"/>
      <c r="M51" s="2"/>
      <c r="N51" s="2"/>
      <c r="O51" s="2"/>
      <c r="P51" s="2"/>
      <c r="Q51" s="2"/>
      <c r="R51" s="2"/>
      <c r="S51" s="2"/>
      <c r="T51" s="2"/>
      <c r="U51" s="2"/>
      <c r="V51" s="2"/>
      <c r="W51" s="2"/>
      <c r="X51" s="2"/>
      <c r="Y51" s="2"/>
      <c r="Z51" s="2"/>
    </row>
    <row r="52" ht="15.75" customHeight="1">
      <c r="A52" s="1"/>
      <c r="B52" s="1"/>
      <c r="C52" s="1"/>
      <c r="D52" s="1"/>
      <c r="E52" s="1"/>
      <c r="F52" s="1"/>
      <c r="G52" s="2"/>
      <c r="H52" s="2"/>
      <c r="I52" s="2"/>
      <c r="J52" s="2"/>
      <c r="K52" s="2"/>
      <c r="L52" s="2"/>
      <c r="M52" s="2"/>
      <c r="N52" s="2"/>
      <c r="O52" s="2"/>
      <c r="P52" s="2"/>
      <c r="Q52" s="2"/>
      <c r="R52" s="2"/>
      <c r="S52" s="2"/>
      <c r="T52" s="2"/>
      <c r="U52" s="2"/>
      <c r="V52" s="2"/>
      <c r="W52" s="2"/>
      <c r="X52" s="2"/>
      <c r="Y52" s="2"/>
      <c r="Z52" s="2"/>
    </row>
    <row r="53" ht="15.75" customHeight="1">
      <c r="A53" s="1"/>
      <c r="B53" s="1"/>
      <c r="C53" s="1"/>
      <c r="D53" s="1"/>
      <c r="E53" s="1"/>
      <c r="F53" s="1"/>
      <c r="G53" s="2"/>
      <c r="H53" s="2"/>
      <c r="I53" s="2"/>
      <c r="J53" s="2"/>
      <c r="K53" s="2"/>
      <c r="L53" s="2"/>
      <c r="M53" s="2"/>
      <c r="N53" s="2"/>
      <c r="O53" s="2"/>
      <c r="P53" s="2"/>
      <c r="Q53" s="2"/>
      <c r="R53" s="2"/>
      <c r="S53" s="2"/>
      <c r="T53" s="2"/>
      <c r="U53" s="2"/>
      <c r="V53" s="2"/>
      <c r="W53" s="2"/>
      <c r="X53" s="2"/>
      <c r="Y53" s="2"/>
      <c r="Z53" s="2"/>
    </row>
    <row r="54" ht="15.75" customHeight="1">
      <c r="A54" s="1"/>
      <c r="B54" s="1"/>
      <c r="C54" s="1"/>
      <c r="D54" s="1"/>
      <c r="E54" s="1"/>
      <c r="F54" s="1"/>
      <c r="G54" s="2"/>
      <c r="H54" s="2"/>
      <c r="I54" s="2"/>
      <c r="J54" s="2"/>
      <c r="K54" s="2"/>
      <c r="L54" s="2"/>
      <c r="M54" s="2"/>
      <c r="N54" s="2"/>
      <c r="O54" s="2"/>
      <c r="P54" s="2"/>
      <c r="Q54" s="2"/>
      <c r="R54" s="2"/>
      <c r="S54" s="2"/>
      <c r="T54" s="2"/>
      <c r="U54" s="2"/>
      <c r="V54" s="2"/>
      <c r="W54" s="2"/>
      <c r="X54" s="2"/>
      <c r="Y54" s="2"/>
      <c r="Z54" s="2"/>
    </row>
    <row r="55" ht="15.75" customHeight="1">
      <c r="A55" s="1"/>
      <c r="B55" s="1"/>
      <c r="C55" s="1"/>
      <c r="D55" s="1"/>
      <c r="E55" s="1"/>
      <c r="F55" s="1"/>
      <c r="G55" s="2"/>
      <c r="H55" s="2"/>
      <c r="I55" s="2"/>
      <c r="J55" s="2"/>
      <c r="K55" s="2"/>
      <c r="L55" s="2"/>
      <c r="M55" s="2"/>
      <c r="N55" s="2"/>
      <c r="O55" s="2"/>
      <c r="P55" s="2"/>
      <c r="Q55" s="2"/>
      <c r="R55" s="2"/>
      <c r="S55" s="2"/>
      <c r="T55" s="2"/>
      <c r="U55" s="2"/>
      <c r="V55" s="2"/>
      <c r="W55" s="2"/>
      <c r="X55" s="2"/>
      <c r="Y55" s="2"/>
      <c r="Z55" s="2"/>
    </row>
    <row r="56" ht="15.75" customHeight="1">
      <c r="A56" s="1"/>
      <c r="B56" s="1"/>
      <c r="C56" s="1"/>
      <c r="D56" s="1"/>
      <c r="E56" s="1"/>
      <c r="F56" s="1"/>
      <c r="G56" s="2"/>
      <c r="H56" s="2"/>
      <c r="I56" s="2"/>
      <c r="J56" s="2"/>
      <c r="K56" s="2"/>
      <c r="L56" s="2"/>
      <c r="M56" s="2"/>
      <c r="N56" s="2"/>
      <c r="O56" s="2"/>
      <c r="P56" s="2"/>
      <c r="Q56" s="2"/>
      <c r="R56" s="2"/>
      <c r="S56" s="2"/>
      <c r="T56" s="2"/>
      <c r="U56" s="2"/>
      <c r="V56" s="2"/>
      <c r="W56" s="2"/>
      <c r="X56" s="2"/>
      <c r="Y56" s="2"/>
      <c r="Z56" s="2"/>
    </row>
    <row r="57" ht="15.75" customHeight="1">
      <c r="A57" s="1"/>
      <c r="B57" s="1"/>
      <c r="C57" s="1"/>
      <c r="D57" s="1"/>
      <c r="E57" s="1"/>
      <c r="F57" s="1"/>
      <c r="G57" s="2"/>
      <c r="H57" s="2"/>
      <c r="I57" s="2"/>
      <c r="J57" s="2"/>
      <c r="K57" s="2"/>
      <c r="L57" s="2"/>
      <c r="M57" s="2"/>
      <c r="N57" s="2"/>
      <c r="O57" s="2"/>
      <c r="P57" s="2"/>
      <c r="Q57" s="2"/>
      <c r="R57" s="2"/>
      <c r="S57" s="2"/>
      <c r="T57" s="2"/>
      <c r="U57" s="2"/>
      <c r="V57" s="2"/>
      <c r="W57" s="2"/>
      <c r="X57" s="2"/>
      <c r="Y57" s="2"/>
      <c r="Z57" s="2"/>
    </row>
    <row r="58" ht="15.75" customHeight="1">
      <c r="A58" s="1"/>
      <c r="B58" s="1"/>
      <c r="C58" s="1"/>
      <c r="D58" s="1"/>
      <c r="E58" s="1"/>
      <c r="F58" s="1"/>
      <c r="G58" s="2"/>
      <c r="H58" s="2"/>
      <c r="I58" s="2"/>
      <c r="J58" s="2"/>
      <c r="K58" s="2"/>
      <c r="L58" s="2"/>
      <c r="M58" s="2"/>
      <c r="N58" s="2"/>
      <c r="O58" s="2"/>
      <c r="P58" s="2"/>
      <c r="Q58" s="2"/>
      <c r="R58" s="2"/>
      <c r="S58" s="2"/>
      <c r="T58" s="2"/>
      <c r="U58" s="2"/>
      <c r="V58" s="2"/>
      <c r="W58" s="2"/>
      <c r="X58" s="2"/>
      <c r="Y58" s="2"/>
      <c r="Z58" s="2"/>
    </row>
    <row r="59" ht="15.75" customHeight="1">
      <c r="A59" s="1"/>
      <c r="B59" s="1"/>
      <c r="C59" s="1"/>
      <c r="D59" s="1"/>
      <c r="E59" s="1"/>
      <c r="F59" s="1"/>
      <c r="G59" s="2"/>
      <c r="H59" s="2"/>
      <c r="I59" s="2"/>
      <c r="J59" s="2"/>
      <c r="K59" s="2"/>
      <c r="L59" s="2"/>
      <c r="M59" s="2"/>
      <c r="N59" s="2"/>
      <c r="O59" s="2"/>
      <c r="P59" s="2"/>
      <c r="Q59" s="2"/>
      <c r="R59" s="2"/>
      <c r="S59" s="2"/>
      <c r="T59" s="2"/>
      <c r="U59" s="2"/>
      <c r="V59" s="2"/>
      <c r="W59" s="2"/>
      <c r="X59" s="2"/>
      <c r="Y59" s="2"/>
      <c r="Z59" s="2"/>
    </row>
    <row r="60" ht="15.75" customHeight="1">
      <c r="A60" s="1"/>
      <c r="B60" s="1"/>
      <c r="C60" s="1"/>
      <c r="D60" s="1"/>
      <c r="E60" s="1"/>
      <c r="F60" s="1"/>
      <c r="G60" s="2"/>
      <c r="H60" s="2"/>
      <c r="I60" s="2"/>
      <c r="J60" s="2"/>
      <c r="K60" s="2"/>
      <c r="L60" s="2"/>
      <c r="M60" s="2"/>
      <c r="N60" s="2"/>
      <c r="O60" s="2"/>
      <c r="P60" s="2"/>
      <c r="Q60" s="2"/>
      <c r="R60" s="2"/>
      <c r="S60" s="2"/>
      <c r="T60" s="2"/>
      <c r="U60" s="2"/>
      <c r="V60" s="2"/>
      <c r="W60" s="2"/>
      <c r="X60" s="2"/>
      <c r="Y60" s="2"/>
      <c r="Z60" s="2"/>
    </row>
    <row r="61" ht="15.75" customHeight="1">
      <c r="A61" s="1"/>
      <c r="B61" s="1"/>
      <c r="C61" s="1"/>
      <c r="D61" s="1"/>
      <c r="E61" s="1"/>
      <c r="F61" s="1"/>
      <c r="G61" s="2"/>
      <c r="H61" s="2"/>
      <c r="I61" s="2"/>
      <c r="J61" s="2"/>
      <c r="K61" s="2"/>
      <c r="L61" s="2"/>
      <c r="M61" s="2"/>
      <c r="N61" s="2"/>
      <c r="O61" s="2"/>
      <c r="P61" s="2"/>
      <c r="Q61" s="2"/>
      <c r="R61" s="2"/>
      <c r="S61" s="2"/>
      <c r="T61" s="2"/>
      <c r="U61" s="2"/>
      <c r="V61" s="2"/>
      <c r="W61" s="2"/>
      <c r="X61" s="2"/>
      <c r="Y61" s="2"/>
      <c r="Z61" s="2"/>
    </row>
    <row r="62" ht="15.75" customHeight="1">
      <c r="A62" s="1"/>
      <c r="B62" s="1"/>
      <c r="C62" s="1"/>
      <c r="D62" s="1"/>
      <c r="E62" s="1"/>
      <c r="F62" s="1"/>
      <c r="G62" s="2"/>
      <c r="H62" s="2"/>
      <c r="I62" s="2"/>
      <c r="J62" s="2"/>
      <c r="K62" s="2"/>
      <c r="L62" s="2"/>
      <c r="M62" s="2"/>
      <c r="N62" s="2"/>
      <c r="O62" s="2"/>
      <c r="P62" s="2"/>
      <c r="Q62" s="2"/>
      <c r="R62" s="2"/>
      <c r="S62" s="2"/>
      <c r="T62" s="2"/>
      <c r="U62" s="2"/>
      <c r="V62" s="2"/>
      <c r="W62" s="2"/>
      <c r="X62" s="2"/>
      <c r="Y62" s="2"/>
      <c r="Z62" s="2"/>
    </row>
    <row r="63" ht="15.75" customHeight="1">
      <c r="A63" s="1"/>
      <c r="B63" s="1"/>
      <c r="C63" s="1"/>
      <c r="D63" s="1"/>
      <c r="E63" s="1"/>
      <c r="F63" s="1"/>
      <c r="G63" s="2"/>
      <c r="H63" s="2"/>
      <c r="I63" s="2"/>
      <c r="J63" s="2"/>
      <c r="K63" s="2"/>
      <c r="L63" s="2"/>
      <c r="M63" s="2"/>
      <c r="N63" s="2"/>
      <c r="O63" s="2"/>
      <c r="P63" s="2"/>
      <c r="Q63" s="2"/>
      <c r="R63" s="2"/>
      <c r="S63" s="2"/>
      <c r="T63" s="2"/>
      <c r="U63" s="2"/>
      <c r="V63" s="2"/>
      <c r="W63" s="2"/>
      <c r="X63" s="2"/>
      <c r="Y63" s="2"/>
      <c r="Z63" s="2"/>
    </row>
    <row r="64" ht="15.75" customHeight="1">
      <c r="A64" s="1"/>
      <c r="B64" s="1"/>
      <c r="C64" s="1"/>
      <c r="D64" s="1"/>
      <c r="E64" s="1"/>
      <c r="F64" s="1"/>
      <c r="G64" s="2"/>
      <c r="H64" s="2"/>
      <c r="I64" s="2"/>
      <c r="J64" s="2"/>
      <c r="K64" s="2"/>
      <c r="L64" s="2"/>
      <c r="M64" s="2"/>
      <c r="N64" s="2"/>
      <c r="O64" s="2"/>
      <c r="P64" s="2"/>
      <c r="Q64" s="2"/>
      <c r="R64" s="2"/>
      <c r="S64" s="2"/>
      <c r="T64" s="2"/>
      <c r="U64" s="2"/>
      <c r="V64" s="2"/>
      <c r="W64" s="2"/>
      <c r="X64" s="2"/>
      <c r="Y64" s="2"/>
      <c r="Z64" s="2"/>
    </row>
    <row r="65" ht="15.75" customHeight="1">
      <c r="A65" s="1"/>
      <c r="B65" s="1"/>
      <c r="C65" s="1"/>
      <c r="D65" s="1"/>
      <c r="E65" s="1"/>
      <c r="F65" s="1"/>
      <c r="G65" s="2"/>
      <c r="H65" s="2"/>
      <c r="I65" s="2"/>
      <c r="J65" s="2"/>
      <c r="K65" s="2"/>
      <c r="L65" s="2"/>
      <c r="M65" s="2"/>
      <c r="N65" s="2"/>
      <c r="O65" s="2"/>
      <c r="P65" s="2"/>
      <c r="Q65" s="2"/>
      <c r="R65" s="2"/>
      <c r="S65" s="2"/>
      <c r="T65" s="2"/>
      <c r="U65" s="2"/>
      <c r="V65" s="2"/>
      <c r="W65" s="2"/>
      <c r="X65" s="2"/>
      <c r="Y65" s="2"/>
      <c r="Z65" s="2"/>
    </row>
    <row r="66" ht="15.75" customHeight="1">
      <c r="A66" s="1"/>
      <c r="B66" s="1"/>
      <c r="C66" s="1"/>
      <c r="D66" s="1"/>
      <c r="E66" s="1"/>
      <c r="F66" s="1"/>
      <c r="G66" s="2"/>
      <c r="H66" s="2"/>
      <c r="I66" s="2"/>
      <c r="J66" s="2"/>
      <c r="K66" s="2"/>
      <c r="L66" s="2"/>
      <c r="M66" s="2"/>
      <c r="N66" s="2"/>
      <c r="O66" s="2"/>
      <c r="P66" s="2"/>
      <c r="Q66" s="2"/>
      <c r="R66" s="2"/>
      <c r="S66" s="2"/>
      <c r="T66" s="2"/>
      <c r="U66" s="2"/>
      <c r="V66" s="2"/>
      <c r="W66" s="2"/>
      <c r="X66" s="2"/>
      <c r="Y66" s="2"/>
      <c r="Z66" s="2"/>
    </row>
    <row r="67" ht="15.75" customHeight="1">
      <c r="A67" s="1"/>
      <c r="B67" s="1"/>
      <c r="C67" s="1"/>
      <c r="D67" s="1"/>
      <c r="E67" s="1"/>
      <c r="F67" s="1"/>
      <c r="G67" s="2"/>
      <c r="H67" s="2"/>
      <c r="I67" s="2"/>
      <c r="J67" s="2"/>
      <c r="K67" s="2"/>
      <c r="L67" s="2"/>
      <c r="M67" s="2"/>
      <c r="N67" s="2"/>
      <c r="O67" s="2"/>
      <c r="P67" s="2"/>
      <c r="Q67" s="2"/>
      <c r="R67" s="2"/>
      <c r="S67" s="2"/>
      <c r="T67" s="2"/>
      <c r="U67" s="2"/>
      <c r="V67" s="2"/>
      <c r="W67" s="2"/>
      <c r="X67" s="2"/>
      <c r="Y67" s="2"/>
      <c r="Z67" s="2"/>
    </row>
    <row r="68" ht="15.75" customHeight="1">
      <c r="A68" s="1"/>
      <c r="B68" s="1"/>
      <c r="C68" s="1"/>
      <c r="D68" s="1"/>
      <c r="E68" s="1"/>
      <c r="F68" s="1"/>
      <c r="G68" s="2"/>
      <c r="H68" s="2"/>
      <c r="I68" s="2"/>
      <c r="J68" s="2"/>
      <c r="K68" s="2"/>
      <c r="L68" s="2"/>
      <c r="M68" s="2"/>
      <c r="N68" s="2"/>
      <c r="O68" s="2"/>
      <c r="P68" s="2"/>
      <c r="Q68" s="2"/>
      <c r="R68" s="2"/>
      <c r="S68" s="2"/>
      <c r="T68" s="2"/>
      <c r="U68" s="2"/>
      <c r="V68" s="2"/>
      <c r="W68" s="2"/>
      <c r="X68" s="2"/>
      <c r="Y68" s="2"/>
      <c r="Z68" s="2"/>
    </row>
    <row r="69" ht="15.75" customHeight="1">
      <c r="A69" s="1"/>
      <c r="B69" s="1"/>
      <c r="C69" s="1"/>
      <c r="D69" s="1"/>
      <c r="E69" s="1"/>
      <c r="F69" s="1"/>
      <c r="G69" s="2"/>
      <c r="H69" s="2"/>
      <c r="I69" s="2"/>
      <c r="J69" s="2"/>
      <c r="K69" s="2"/>
      <c r="L69" s="2"/>
      <c r="M69" s="2"/>
      <c r="N69" s="2"/>
      <c r="O69" s="2"/>
      <c r="P69" s="2"/>
      <c r="Q69" s="2"/>
      <c r="R69" s="2"/>
      <c r="S69" s="2"/>
      <c r="T69" s="2"/>
      <c r="U69" s="2"/>
      <c r="V69" s="2"/>
      <c r="W69" s="2"/>
      <c r="X69" s="2"/>
      <c r="Y69" s="2"/>
      <c r="Z69" s="2"/>
    </row>
    <row r="70" ht="15.75" customHeight="1">
      <c r="A70" s="1"/>
      <c r="B70" s="1"/>
      <c r="C70" s="1"/>
      <c r="D70" s="1"/>
      <c r="E70" s="1"/>
      <c r="F70" s="1"/>
      <c r="G70" s="2"/>
      <c r="H70" s="2"/>
      <c r="I70" s="2"/>
      <c r="J70" s="2"/>
      <c r="K70" s="2"/>
      <c r="L70" s="2"/>
      <c r="M70" s="2"/>
      <c r="N70" s="2"/>
      <c r="O70" s="2"/>
      <c r="P70" s="2"/>
      <c r="Q70" s="2"/>
      <c r="R70" s="2"/>
      <c r="S70" s="2"/>
      <c r="T70" s="2"/>
      <c r="U70" s="2"/>
      <c r="V70" s="2"/>
      <c r="W70" s="2"/>
      <c r="X70" s="2"/>
      <c r="Y70" s="2"/>
      <c r="Z70" s="2"/>
    </row>
    <row r="71" ht="15.75" customHeight="1">
      <c r="A71" s="1"/>
      <c r="B71" s="1"/>
      <c r="C71" s="1"/>
      <c r="D71" s="1"/>
      <c r="E71" s="1"/>
      <c r="F71" s="1"/>
      <c r="G71" s="2"/>
      <c r="H71" s="2"/>
      <c r="I71" s="2"/>
      <c r="J71" s="2"/>
      <c r="K71" s="2"/>
      <c r="L71" s="2"/>
      <c r="M71" s="2"/>
      <c r="N71" s="2"/>
      <c r="O71" s="2"/>
      <c r="P71" s="2"/>
      <c r="Q71" s="2"/>
      <c r="R71" s="2"/>
      <c r="S71" s="2"/>
      <c r="T71" s="2"/>
      <c r="U71" s="2"/>
      <c r="V71" s="2"/>
      <c r="W71" s="2"/>
      <c r="X71" s="2"/>
      <c r="Y71" s="2"/>
      <c r="Z71" s="2"/>
    </row>
    <row r="72" ht="15.75" customHeight="1">
      <c r="A72" s="1"/>
      <c r="B72" s="1"/>
      <c r="C72" s="1"/>
      <c r="D72" s="1"/>
      <c r="E72" s="1"/>
      <c r="F72" s="1"/>
      <c r="G72" s="2"/>
      <c r="H72" s="2"/>
      <c r="I72" s="2"/>
      <c r="J72" s="2"/>
      <c r="K72" s="2"/>
      <c r="L72" s="2"/>
      <c r="M72" s="2"/>
      <c r="N72" s="2"/>
      <c r="O72" s="2"/>
      <c r="P72" s="2"/>
      <c r="Q72" s="2"/>
      <c r="R72" s="2"/>
      <c r="S72" s="2"/>
      <c r="T72" s="2"/>
      <c r="U72" s="2"/>
      <c r="V72" s="2"/>
      <c r="W72" s="2"/>
      <c r="X72" s="2"/>
      <c r="Y72" s="2"/>
      <c r="Z72" s="2"/>
    </row>
    <row r="73" ht="15.75" customHeight="1">
      <c r="A73" s="1"/>
      <c r="B73" s="1"/>
      <c r="C73" s="1"/>
      <c r="D73" s="1"/>
      <c r="E73" s="1"/>
      <c r="F73" s="1"/>
      <c r="G73" s="2"/>
      <c r="H73" s="2"/>
      <c r="I73" s="2"/>
      <c r="J73" s="2"/>
      <c r="K73" s="2"/>
      <c r="L73" s="2"/>
      <c r="M73" s="2"/>
      <c r="N73" s="2"/>
      <c r="O73" s="2"/>
      <c r="P73" s="2"/>
      <c r="Q73" s="2"/>
      <c r="R73" s="2"/>
      <c r="S73" s="2"/>
      <c r="T73" s="2"/>
      <c r="U73" s="2"/>
      <c r="V73" s="2"/>
      <c r="W73" s="2"/>
      <c r="X73" s="2"/>
      <c r="Y73" s="2"/>
      <c r="Z73" s="2"/>
    </row>
    <row r="74" ht="15.75" customHeight="1">
      <c r="A74" s="1"/>
      <c r="B74" s="1"/>
      <c r="C74" s="1"/>
      <c r="D74" s="1"/>
      <c r="E74" s="1"/>
      <c r="F74" s="1"/>
      <c r="G74" s="2"/>
      <c r="H74" s="2"/>
      <c r="I74" s="2"/>
      <c r="J74" s="2"/>
      <c r="K74" s="2"/>
      <c r="L74" s="2"/>
      <c r="M74" s="2"/>
      <c r="N74" s="2"/>
      <c r="O74" s="2"/>
      <c r="P74" s="2"/>
      <c r="Q74" s="2"/>
      <c r="R74" s="2"/>
      <c r="S74" s="2"/>
      <c r="T74" s="2"/>
      <c r="U74" s="2"/>
      <c r="V74" s="2"/>
      <c r="W74" s="2"/>
      <c r="X74" s="2"/>
      <c r="Y74" s="2"/>
      <c r="Z74" s="2"/>
    </row>
    <row r="75" ht="15.75" customHeight="1">
      <c r="A75" s="1"/>
      <c r="B75" s="1"/>
      <c r="C75" s="1"/>
      <c r="D75" s="1"/>
      <c r="E75" s="1"/>
      <c r="F75" s="1"/>
      <c r="G75" s="2"/>
      <c r="H75" s="2"/>
      <c r="I75" s="2"/>
      <c r="J75" s="2"/>
      <c r="K75" s="2"/>
      <c r="L75" s="2"/>
      <c r="M75" s="2"/>
      <c r="N75" s="2"/>
      <c r="O75" s="2"/>
      <c r="P75" s="2"/>
      <c r="Q75" s="2"/>
      <c r="R75" s="2"/>
      <c r="S75" s="2"/>
      <c r="T75" s="2"/>
      <c r="U75" s="2"/>
      <c r="V75" s="2"/>
      <c r="W75" s="2"/>
      <c r="X75" s="2"/>
      <c r="Y75" s="2"/>
      <c r="Z75" s="2"/>
    </row>
    <row r="76" ht="15.75" customHeight="1">
      <c r="A76" s="1"/>
      <c r="B76" s="1"/>
      <c r="C76" s="1"/>
      <c r="D76" s="1"/>
      <c r="E76" s="1"/>
      <c r="F76" s="1"/>
      <c r="G76" s="2"/>
      <c r="H76" s="2"/>
      <c r="I76" s="2"/>
      <c r="J76" s="2"/>
      <c r="K76" s="2"/>
      <c r="L76" s="2"/>
      <c r="M76" s="2"/>
      <c r="N76" s="2"/>
      <c r="O76" s="2"/>
      <c r="P76" s="2"/>
      <c r="Q76" s="2"/>
      <c r="R76" s="2"/>
      <c r="S76" s="2"/>
      <c r="T76" s="2"/>
      <c r="U76" s="2"/>
      <c r="V76" s="2"/>
      <c r="W76" s="2"/>
      <c r="X76" s="2"/>
      <c r="Y76" s="2"/>
      <c r="Z76" s="2"/>
    </row>
    <row r="77" ht="15.75" customHeight="1">
      <c r="A77" s="1"/>
      <c r="B77" s="1"/>
      <c r="C77" s="1"/>
      <c r="D77" s="1"/>
      <c r="E77" s="1"/>
      <c r="F77" s="1"/>
      <c r="G77" s="2"/>
      <c r="H77" s="2"/>
      <c r="I77" s="2"/>
      <c r="J77" s="2"/>
      <c r="K77" s="2"/>
      <c r="L77" s="2"/>
      <c r="M77" s="2"/>
      <c r="N77" s="2"/>
      <c r="O77" s="2"/>
      <c r="P77" s="2"/>
      <c r="Q77" s="2"/>
      <c r="R77" s="2"/>
      <c r="S77" s="2"/>
      <c r="T77" s="2"/>
      <c r="U77" s="2"/>
      <c r="V77" s="2"/>
      <c r="W77" s="2"/>
      <c r="X77" s="2"/>
      <c r="Y77" s="2"/>
      <c r="Z77" s="2"/>
    </row>
    <row r="78" ht="15.75" customHeight="1">
      <c r="A78" s="1"/>
      <c r="B78" s="1"/>
      <c r="C78" s="1"/>
      <c r="D78" s="1"/>
      <c r="E78" s="1"/>
      <c r="F78" s="1"/>
      <c r="G78" s="2"/>
      <c r="H78" s="2"/>
      <c r="I78" s="2"/>
      <c r="J78" s="2"/>
      <c r="K78" s="2"/>
      <c r="L78" s="2"/>
      <c r="M78" s="2"/>
      <c r="N78" s="2"/>
      <c r="O78" s="2"/>
      <c r="P78" s="2"/>
      <c r="Q78" s="2"/>
      <c r="R78" s="2"/>
      <c r="S78" s="2"/>
      <c r="T78" s="2"/>
      <c r="U78" s="2"/>
      <c r="V78" s="2"/>
      <c r="W78" s="2"/>
      <c r="X78" s="2"/>
      <c r="Y78" s="2"/>
      <c r="Z78" s="2"/>
    </row>
    <row r="79" ht="15.75" customHeight="1">
      <c r="A79" s="1"/>
      <c r="B79" s="1"/>
      <c r="C79" s="1"/>
      <c r="D79" s="1"/>
      <c r="E79" s="1"/>
      <c r="F79" s="1"/>
      <c r="G79" s="2"/>
      <c r="H79" s="2"/>
      <c r="I79" s="2"/>
      <c r="J79" s="2"/>
      <c r="K79" s="2"/>
      <c r="L79" s="2"/>
      <c r="M79" s="2"/>
      <c r="N79" s="2"/>
      <c r="O79" s="2"/>
      <c r="P79" s="2"/>
      <c r="Q79" s="2"/>
      <c r="R79" s="2"/>
      <c r="S79" s="2"/>
      <c r="T79" s="2"/>
      <c r="U79" s="2"/>
      <c r="V79" s="2"/>
      <c r="W79" s="2"/>
      <c r="X79" s="2"/>
      <c r="Y79" s="2"/>
      <c r="Z79" s="2"/>
    </row>
    <row r="80" ht="15.75" customHeight="1">
      <c r="A80" s="1"/>
      <c r="B80" s="1"/>
      <c r="C80" s="1"/>
      <c r="D80" s="1"/>
      <c r="E80" s="1"/>
      <c r="F80" s="1"/>
      <c r="G80" s="2"/>
      <c r="H80" s="2"/>
      <c r="I80" s="2"/>
      <c r="J80" s="2"/>
      <c r="K80" s="2"/>
      <c r="L80" s="2"/>
      <c r="M80" s="2"/>
      <c r="N80" s="2"/>
      <c r="O80" s="2"/>
      <c r="P80" s="2"/>
      <c r="Q80" s="2"/>
      <c r="R80" s="2"/>
      <c r="S80" s="2"/>
      <c r="T80" s="2"/>
      <c r="U80" s="2"/>
      <c r="V80" s="2"/>
      <c r="W80" s="2"/>
      <c r="X80" s="2"/>
      <c r="Y80" s="2"/>
      <c r="Z80" s="2"/>
    </row>
    <row r="81" ht="15.75" customHeight="1">
      <c r="A81" s="1"/>
      <c r="B81" s="1"/>
      <c r="C81" s="1"/>
      <c r="D81" s="1"/>
      <c r="E81" s="1"/>
      <c r="F81" s="1"/>
      <c r="G81" s="2"/>
      <c r="H81" s="2"/>
      <c r="I81" s="2"/>
      <c r="J81" s="2"/>
      <c r="K81" s="2"/>
      <c r="L81" s="2"/>
      <c r="M81" s="2"/>
      <c r="N81" s="2"/>
      <c r="O81" s="2"/>
      <c r="P81" s="2"/>
      <c r="Q81" s="2"/>
      <c r="R81" s="2"/>
      <c r="S81" s="2"/>
      <c r="T81" s="2"/>
      <c r="U81" s="2"/>
      <c r="V81" s="2"/>
      <c r="W81" s="2"/>
      <c r="X81" s="2"/>
      <c r="Y81" s="2"/>
      <c r="Z81" s="2"/>
    </row>
    <row r="82" ht="15.75" customHeight="1">
      <c r="A82" s="1"/>
      <c r="B82" s="1"/>
      <c r="C82" s="1"/>
      <c r="D82" s="1"/>
      <c r="E82" s="1"/>
      <c r="F82" s="1"/>
      <c r="G82" s="2"/>
      <c r="H82" s="2"/>
      <c r="I82" s="2"/>
      <c r="J82" s="2"/>
      <c r="K82" s="2"/>
      <c r="L82" s="2"/>
      <c r="M82" s="2"/>
      <c r="N82" s="2"/>
      <c r="O82" s="2"/>
      <c r="P82" s="2"/>
      <c r="Q82" s="2"/>
      <c r="R82" s="2"/>
      <c r="S82" s="2"/>
      <c r="T82" s="2"/>
      <c r="U82" s="2"/>
      <c r="V82" s="2"/>
      <c r="W82" s="2"/>
      <c r="X82" s="2"/>
      <c r="Y82" s="2"/>
      <c r="Z82" s="2"/>
    </row>
    <row r="83" ht="15.75" customHeight="1">
      <c r="A83" s="1"/>
      <c r="B83" s="1"/>
      <c r="C83" s="1"/>
      <c r="D83" s="1"/>
      <c r="E83" s="1"/>
      <c r="F83" s="1"/>
      <c r="G83" s="2"/>
      <c r="H83" s="2"/>
      <c r="I83" s="2"/>
      <c r="J83" s="2"/>
      <c r="K83" s="2"/>
      <c r="L83" s="2"/>
      <c r="M83" s="2"/>
      <c r="N83" s="2"/>
      <c r="O83" s="2"/>
      <c r="P83" s="2"/>
      <c r="Q83" s="2"/>
      <c r="R83" s="2"/>
      <c r="S83" s="2"/>
      <c r="T83" s="2"/>
      <c r="U83" s="2"/>
      <c r="V83" s="2"/>
      <c r="W83" s="2"/>
      <c r="X83" s="2"/>
      <c r="Y83" s="2"/>
      <c r="Z83" s="2"/>
    </row>
    <row r="84" ht="15.75" customHeight="1">
      <c r="A84" s="1"/>
      <c r="B84" s="1"/>
      <c r="C84" s="1"/>
      <c r="D84" s="1"/>
      <c r="E84" s="1"/>
      <c r="F84" s="1"/>
      <c r="G84" s="2"/>
      <c r="H84" s="2"/>
      <c r="I84" s="2"/>
      <c r="J84" s="2"/>
      <c r="K84" s="2"/>
      <c r="L84" s="2"/>
      <c r="M84" s="2"/>
      <c r="N84" s="2"/>
      <c r="O84" s="2"/>
      <c r="P84" s="2"/>
      <c r="Q84" s="2"/>
      <c r="R84" s="2"/>
      <c r="S84" s="2"/>
      <c r="T84" s="2"/>
      <c r="U84" s="2"/>
      <c r="V84" s="2"/>
      <c r="W84" s="2"/>
      <c r="X84" s="2"/>
      <c r="Y84" s="2"/>
      <c r="Z84" s="2"/>
    </row>
    <row r="85" ht="15.75" customHeight="1">
      <c r="A85" s="1"/>
      <c r="B85" s="1"/>
      <c r="C85" s="1"/>
      <c r="D85" s="1"/>
      <c r="E85" s="1"/>
      <c r="F85" s="1"/>
      <c r="G85" s="2"/>
      <c r="H85" s="2"/>
      <c r="I85" s="2"/>
      <c r="J85" s="2"/>
      <c r="K85" s="2"/>
      <c r="L85" s="2"/>
      <c r="M85" s="2"/>
      <c r="N85" s="2"/>
      <c r="O85" s="2"/>
      <c r="P85" s="2"/>
      <c r="Q85" s="2"/>
      <c r="R85" s="2"/>
      <c r="S85" s="2"/>
      <c r="T85" s="2"/>
      <c r="U85" s="2"/>
      <c r="V85" s="2"/>
      <c r="W85" s="2"/>
      <c r="X85" s="2"/>
      <c r="Y85" s="2"/>
      <c r="Z85" s="2"/>
    </row>
    <row r="86" ht="15.75" customHeight="1">
      <c r="A86" s="1"/>
      <c r="B86" s="1"/>
      <c r="C86" s="1"/>
      <c r="D86" s="1"/>
      <c r="E86" s="1"/>
      <c r="F86" s="1"/>
      <c r="G86" s="2"/>
      <c r="H86" s="2"/>
      <c r="I86" s="2"/>
      <c r="J86" s="2"/>
      <c r="K86" s="2"/>
      <c r="L86" s="2"/>
      <c r="M86" s="2"/>
      <c r="N86" s="2"/>
      <c r="O86" s="2"/>
      <c r="P86" s="2"/>
      <c r="Q86" s="2"/>
      <c r="R86" s="2"/>
      <c r="S86" s="2"/>
      <c r="T86" s="2"/>
      <c r="U86" s="2"/>
      <c r="V86" s="2"/>
      <c r="W86" s="2"/>
      <c r="X86" s="2"/>
      <c r="Y86" s="2"/>
      <c r="Z86" s="2"/>
    </row>
    <row r="87" ht="15.75" customHeight="1">
      <c r="A87" s="1"/>
      <c r="B87" s="1"/>
      <c r="C87" s="1"/>
      <c r="D87" s="1"/>
      <c r="E87" s="1"/>
      <c r="F87" s="1"/>
      <c r="G87" s="2"/>
      <c r="H87" s="2"/>
      <c r="I87" s="2"/>
      <c r="J87" s="2"/>
      <c r="K87" s="2"/>
      <c r="L87" s="2"/>
      <c r="M87" s="2"/>
      <c r="N87" s="2"/>
      <c r="O87" s="2"/>
      <c r="P87" s="2"/>
      <c r="Q87" s="2"/>
      <c r="R87" s="2"/>
      <c r="S87" s="2"/>
      <c r="T87" s="2"/>
      <c r="U87" s="2"/>
      <c r="V87" s="2"/>
      <c r="W87" s="2"/>
      <c r="X87" s="2"/>
      <c r="Y87" s="2"/>
      <c r="Z87" s="2"/>
    </row>
    <row r="88" ht="15.75" customHeight="1">
      <c r="A88" s="1"/>
      <c r="B88" s="1"/>
      <c r="C88" s="1"/>
      <c r="D88" s="1"/>
      <c r="E88" s="1"/>
      <c r="F88" s="1"/>
      <c r="G88" s="2"/>
      <c r="H88" s="2"/>
      <c r="I88" s="2"/>
      <c r="J88" s="2"/>
      <c r="K88" s="2"/>
      <c r="L88" s="2"/>
      <c r="M88" s="2"/>
      <c r="N88" s="2"/>
      <c r="O88" s="2"/>
      <c r="P88" s="2"/>
      <c r="Q88" s="2"/>
      <c r="R88" s="2"/>
      <c r="S88" s="2"/>
      <c r="T88" s="2"/>
      <c r="U88" s="2"/>
      <c r="V88" s="2"/>
      <c r="W88" s="2"/>
      <c r="X88" s="2"/>
      <c r="Y88" s="2"/>
      <c r="Z88" s="2"/>
    </row>
    <row r="89" ht="15.75" customHeight="1">
      <c r="A89" s="1"/>
      <c r="B89" s="1"/>
      <c r="C89" s="1"/>
      <c r="D89" s="1"/>
      <c r="E89" s="1"/>
      <c r="F89" s="1"/>
      <c r="G89" s="2"/>
      <c r="H89" s="2"/>
      <c r="I89" s="2"/>
      <c r="J89" s="2"/>
      <c r="K89" s="2"/>
      <c r="L89" s="2"/>
      <c r="M89" s="2"/>
      <c r="N89" s="2"/>
      <c r="O89" s="2"/>
      <c r="P89" s="2"/>
      <c r="Q89" s="2"/>
      <c r="R89" s="2"/>
      <c r="S89" s="2"/>
      <c r="T89" s="2"/>
      <c r="U89" s="2"/>
      <c r="V89" s="2"/>
      <c r="W89" s="2"/>
      <c r="X89" s="2"/>
      <c r="Y89" s="2"/>
      <c r="Z89" s="2"/>
    </row>
    <row r="90" ht="15.75" customHeight="1">
      <c r="A90" s="1"/>
      <c r="B90" s="1"/>
      <c r="C90" s="1"/>
      <c r="D90" s="1"/>
      <c r="E90" s="1"/>
      <c r="F90" s="1"/>
      <c r="G90" s="2"/>
      <c r="H90" s="2"/>
      <c r="I90" s="2"/>
      <c r="J90" s="2"/>
      <c r="K90" s="2"/>
      <c r="L90" s="2"/>
      <c r="M90" s="2"/>
      <c r="N90" s="2"/>
      <c r="O90" s="2"/>
      <c r="P90" s="2"/>
      <c r="Q90" s="2"/>
      <c r="R90" s="2"/>
      <c r="S90" s="2"/>
      <c r="T90" s="2"/>
      <c r="U90" s="2"/>
      <c r="V90" s="2"/>
      <c r="W90" s="2"/>
      <c r="X90" s="2"/>
      <c r="Y90" s="2"/>
      <c r="Z90" s="2"/>
    </row>
    <row r="91" ht="15.75" customHeight="1">
      <c r="A91" s="1"/>
      <c r="B91" s="1"/>
      <c r="C91" s="1"/>
      <c r="D91" s="1"/>
      <c r="E91" s="1"/>
      <c r="F91" s="1"/>
      <c r="G91" s="2"/>
      <c r="H91" s="2"/>
      <c r="I91" s="2"/>
      <c r="J91" s="2"/>
      <c r="K91" s="2"/>
      <c r="L91" s="2"/>
      <c r="M91" s="2"/>
      <c r="N91" s="2"/>
      <c r="O91" s="2"/>
      <c r="P91" s="2"/>
      <c r="Q91" s="2"/>
      <c r="R91" s="2"/>
      <c r="S91" s="2"/>
      <c r="T91" s="2"/>
      <c r="U91" s="2"/>
      <c r="V91" s="2"/>
      <c r="W91" s="2"/>
      <c r="X91" s="2"/>
      <c r="Y91" s="2"/>
      <c r="Z91" s="2"/>
    </row>
    <row r="92" ht="15.75" customHeight="1">
      <c r="A92" s="1"/>
      <c r="B92" s="1"/>
      <c r="C92" s="1"/>
      <c r="D92" s="1"/>
      <c r="E92" s="1"/>
      <c r="F92" s="1"/>
      <c r="G92" s="2"/>
      <c r="H92" s="2"/>
      <c r="I92" s="2"/>
      <c r="J92" s="2"/>
      <c r="K92" s="2"/>
      <c r="L92" s="2"/>
      <c r="M92" s="2"/>
      <c r="N92" s="2"/>
      <c r="O92" s="2"/>
      <c r="P92" s="2"/>
      <c r="Q92" s="2"/>
      <c r="R92" s="2"/>
      <c r="S92" s="2"/>
      <c r="T92" s="2"/>
      <c r="U92" s="2"/>
      <c r="V92" s="2"/>
      <c r="W92" s="2"/>
      <c r="X92" s="2"/>
      <c r="Y92" s="2"/>
      <c r="Z92" s="2"/>
    </row>
    <row r="93" ht="15.75" customHeight="1">
      <c r="A93" s="1"/>
      <c r="B93" s="1"/>
      <c r="C93" s="1"/>
      <c r="D93" s="1"/>
      <c r="E93" s="1"/>
      <c r="F93" s="1"/>
      <c r="G93" s="2"/>
      <c r="H93" s="2"/>
      <c r="I93" s="2"/>
      <c r="J93" s="2"/>
      <c r="K93" s="2"/>
      <c r="L93" s="2"/>
      <c r="M93" s="2"/>
      <c r="N93" s="2"/>
      <c r="O93" s="2"/>
      <c r="P93" s="2"/>
      <c r="Q93" s="2"/>
      <c r="R93" s="2"/>
      <c r="S93" s="2"/>
      <c r="T93" s="2"/>
      <c r="U93" s="2"/>
      <c r="V93" s="2"/>
      <c r="W93" s="2"/>
      <c r="X93" s="2"/>
      <c r="Y93" s="2"/>
      <c r="Z93" s="2"/>
    </row>
    <row r="94" ht="15.75" customHeight="1">
      <c r="A94" s="1"/>
      <c r="B94" s="1"/>
      <c r="C94" s="1"/>
      <c r="D94" s="1"/>
      <c r="E94" s="1"/>
      <c r="F94" s="1"/>
      <c r="G94" s="2"/>
      <c r="H94" s="2"/>
      <c r="I94" s="2"/>
      <c r="J94" s="2"/>
      <c r="K94" s="2"/>
      <c r="L94" s="2"/>
      <c r="M94" s="2"/>
      <c r="N94" s="2"/>
      <c r="O94" s="2"/>
      <c r="P94" s="2"/>
      <c r="Q94" s="2"/>
      <c r="R94" s="2"/>
      <c r="S94" s="2"/>
      <c r="T94" s="2"/>
      <c r="U94" s="2"/>
      <c r="V94" s="2"/>
      <c r="W94" s="2"/>
      <c r="X94" s="2"/>
      <c r="Y94" s="2"/>
      <c r="Z94" s="2"/>
    </row>
    <row r="95" ht="15.75" customHeight="1">
      <c r="A95" s="1"/>
      <c r="B95" s="1"/>
      <c r="C95" s="1"/>
      <c r="D95" s="1"/>
      <c r="E95" s="1"/>
      <c r="F95" s="1"/>
      <c r="G95" s="2"/>
      <c r="H95" s="2"/>
      <c r="I95" s="2"/>
      <c r="J95" s="2"/>
      <c r="K95" s="2"/>
      <c r="L95" s="2"/>
      <c r="M95" s="2"/>
      <c r="N95" s="2"/>
      <c r="O95" s="2"/>
      <c r="P95" s="2"/>
      <c r="Q95" s="2"/>
      <c r="R95" s="2"/>
      <c r="S95" s="2"/>
      <c r="T95" s="2"/>
      <c r="U95" s="2"/>
      <c r="V95" s="2"/>
      <c r="W95" s="2"/>
      <c r="X95" s="2"/>
      <c r="Y95" s="2"/>
      <c r="Z95" s="2"/>
    </row>
    <row r="96" ht="15.75" customHeight="1">
      <c r="A96" s="1"/>
      <c r="B96" s="1"/>
      <c r="C96" s="1"/>
      <c r="D96" s="1"/>
      <c r="E96" s="1"/>
      <c r="F96" s="1"/>
      <c r="G96" s="2"/>
      <c r="H96" s="2"/>
      <c r="I96" s="2"/>
      <c r="J96" s="2"/>
      <c r="K96" s="2"/>
      <c r="L96" s="2"/>
      <c r="M96" s="2"/>
      <c r="N96" s="2"/>
      <c r="O96" s="2"/>
      <c r="P96" s="2"/>
      <c r="Q96" s="2"/>
      <c r="R96" s="2"/>
      <c r="S96" s="2"/>
      <c r="T96" s="2"/>
      <c r="U96" s="2"/>
      <c r="V96" s="2"/>
      <c r="W96" s="2"/>
      <c r="X96" s="2"/>
      <c r="Y96" s="2"/>
      <c r="Z96" s="2"/>
    </row>
    <row r="97" ht="15.75" customHeight="1">
      <c r="A97" s="1"/>
      <c r="B97" s="1"/>
      <c r="C97" s="1"/>
      <c r="D97" s="1"/>
      <c r="E97" s="1"/>
      <c r="F97" s="1"/>
      <c r="G97" s="2"/>
      <c r="H97" s="2"/>
      <c r="I97" s="2"/>
      <c r="J97" s="2"/>
      <c r="K97" s="2"/>
      <c r="L97" s="2"/>
      <c r="M97" s="2"/>
      <c r="N97" s="2"/>
      <c r="O97" s="2"/>
      <c r="P97" s="2"/>
      <c r="Q97" s="2"/>
      <c r="R97" s="2"/>
      <c r="S97" s="2"/>
      <c r="T97" s="2"/>
      <c r="U97" s="2"/>
      <c r="V97" s="2"/>
      <c r="W97" s="2"/>
      <c r="X97" s="2"/>
      <c r="Y97" s="2"/>
      <c r="Z97" s="2"/>
    </row>
    <row r="98" ht="15.75" customHeight="1">
      <c r="A98" s="1"/>
      <c r="B98" s="1"/>
      <c r="C98" s="1"/>
      <c r="D98" s="1"/>
      <c r="E98" s="1"/>
      <c r="F98" s="1"/>
      <c r="G98" s="2"/>
      <c r="H98" s="2"/>
      <c r="I98" s="2"/>
      <c r="J98" s="2"/>
      <c r="K98" s="2"/>
      <c r="L98" s="2"/>
      <c r="M98" s="2"/>
      <c r="N98" s="2"/>
      <c r="O98" s="2"/>
      <c r="P98" s="2"/>
      <c r="Q98" s="2"/>
      <c r="R98" s="2"/>
      <c r="S98" s="2"/>
      <c r="T98" s="2"/>
      <c r="U98" s="2"/>
      <c r="V98" s="2"/>
      <c r="W98" s="2"/>
      <c r="X98" s="2"/>
      <c r="Y98" s="2"/>
      <c r="Z98" s="2"/>
    </row>
    <row r="99" ht="15.75" customHeight="1">
      <c r="A99" s="1"/>
      <c r="B99" s="1"/>
      <c r="C99" s="1"/>
      <c r="D99" s="1"/>
      <c r="E99" s="1"/>
      <c r="F99" s="1"/>
      <c r="G99" s="2"/>
      <c r="H99" s="2"/>
      <c r="I99" s="2"/>
      <c r="J99" s="2"/>
      <c r="K99" s="2"/>
      <c r="L99" s="2"/>
      <c r="M99" s="2"/>
      <c r="N99" s="2"/>
      <c r="O99" s="2"/>
      <c r="P99" s="2"/>
      <c r="Q99" s="2"/>
      <c r="R99" s="2"/>
      <c r="S99" s="2"/>
      <c r="T99" s="2"/>
      <c r="U99" s="2"/>
      <c r="V99" s="2"/>
      <c r="W99" s="2"/>
      <c r="X99" s="2"/>
      <c r="Y99" s="2"/>
      <c r="Z99" s="2"/>
    </row>
    <row r="100" ht="15.75" customHeight="1">
      <c r="A100" s="1"/>
      <c r="B100" s="1"/>
      <c r="C100" s="1"/>
      <c r="D100" s="1"/>
      <c r="E100" s="1"/>
      <c r="F100" s="1"/>
      <c r="G100" s="2"/>
      <c r="H100" s="2"/>
      <c r="I100" s="2"/>
      <c r="J100" s="2"/>
      <c r="K100" s="2"/>
      <c r="L100" s="2"/>
      <c r="M100" s="2"/>
      <c r="N100" s="2"/>
      <c r="O100" s="2"/>
      <c r="P100" s="2"/>
      <c r="Q100" s="2"/>
      <c r="R100" s="2"/>
      <c r="S100" s="2"/>
      <c r="T100" s="2"/>
      <c r="U100" s="2"/>
      <c r="V100" s="2"/>
      <c r="W100" s="2"/>
      <c r="X100" s="2"/>
      <c r="Y100" s="2"/>
      <c r="Z100" s="2"/>
    </row>
    <row r="101" ht="15.75" customHeight="1">
      <c r="A101" s="1"/>
      <c r="B101" s="1"/>
      <c r="C101" s="1"/>
      <c r="D101" s="1"/>
      <c r="E101" s="1"/>
      <c r="F101" s="1"/>
      <c r="G101" s="2"/>
      <c r="H101" s="2"/>
      <c r="I101" s="2"/>
      <c r="J101" s="2"/>
      <c r="K101" s="2"/>
      <c r="L101" s="2"/>
      <c r="M101" s="2"/>
      <c r="N101" s="2"/>
      <c r="O101" s="2"/>
      <c r="P101" s="2"/>
      <c r="Q101" s="2"/>
      <c r="R101" s="2"/>
      <c r="S101" s="2"/>
      <c r="T101" s="2"/>
      <c r="U101" s="2"/>
      <c r="V101" s="2"/>
      <c r="W101" s="2"/>
      <c r="X101" s="2"/>
      <c r="Y101" s="2"/>
      <c r="Z101" s="2"/>
    </row>
    <row r="102" ht="15.75" customHeight="1">
      <c r="A102" s="1"/>
      <c r="B102" s="1"/>
      <c r="C102" s="1"/>
      <c r="D102" s="1"/>
      <c r="E102" s="1"/>
      <c r="F102" s="1"/>
      <c r="G102" s="2"/>
      <c r="H102" s="2"/>
      <c r="I102" s="2"/>
      <c r="J102" s="2"/>
      <c r="K102" s="2"/>
      <c r="L102" s="2"/>
      <c r="M102" s="2"/>
      <c r="N102" s="2"/>
      <c r="O102" s="2"/>
      <c r="P102" s="2"/>
      <c r="Q102" s="2"/>
      <c r="R102" s="2"/>
      <c r="S102" s="2"/>
      <c r="T102" s="2"/>
      <c r="U102" s="2"/>
      <c r="V102" s="2"/>
      <c r="W102" s="2"/>
      <c r="X102" s="2"/>
      <c r="Y102" s="2"/>
      <c r="Z102" s="2"/>
    </row>
    <row r="103" ht="15.75" customHeight="1">
      <c r="A103" s="1"/>
      <c r="B103" s="1"/>
      <c r="C103" s="1"/>
      <c r="D103" s="1"/>
      <c r="E103" s="1"/>
      <c r="F103" s="1"/>
      <c r="G103" s="2"/>
      <c r="H103" s="2"/>
      <c r="I103" s="2"/>
      <c r="J103" s="2"/>
      <c r="K103" s="2"/>
      <c r="L103" s="2"/>
      <c r="M103" s="2"/>
      <c r="N103" s="2"/>
      <c r="O103" s="2"/>
      <c r="P103" s="2"/>
      <c r="Q103" s="2"/>
      <c r="R103" s="2"/>
      <c r="S103" s="2"/>
      <c r="T103" s="2"/>
      <c r="U103" s="2"/>
      <c r="V103" s="2"/>
      <c r="W103" s="2"/>
      <c r="X103" s="2"/>
      <c r="Y103" s="2"/>
      <c r="Z103" s="2"/>
    </row>
    <row r="104" ht="15.75" customHeight="1">
      <c r="A104" s="1"/>
      <c r="B104" s="1"/>
      <c r="C104" s="1"/>
      <c r="D104" s="1"/>
      <c r="E104" s="1"/>
      <c r="F104" s="1"/>
      <c r="G104" s="2"/>
      <c r="H104" s="2"/>
      <c r="I104" s="2"/>
      <c r="J104" s="2"/>
      <c r="K104" s="2"/>
      <c r="L104" s="2"/>
      <c r="M104" s="2"/>
      <c r="N104" s="2"/>
      <c r="O104" s="2"/>
      <c r="P104" s="2"/>
      <c r="Q104" s="2"/>
      <c r="R104" s="2"/>
      <c r="S104" s="2"/>
      <c r="T104" s="2"/>
      <c r="U104" s="2"/>
      <c r="V104" s="2"/>
      <c r="W104" s="2"/>
      <c r="X104" s="2"/>
      <c r="Y104" s="2"/>
      <c r="Z104" s="2"/>
    </row>
    <row r="105" ht="15.75" customHeight="1">
      <c r="A105" s="1"/>
      <c r="B105" s="1"/>
      <c r="C105" s="1"/>
      <c r="D105" s="1"/>
      <c r="E105" s="1"/>
      <c r="F105" s="1"/>
      <c r="G105" s="2"/>
      <c r="H105" s="2"/>
      <c r="I105" s="2"/>
      <c r="J105" s="2"/>
      <c r="K105" s="2"/>
      <c r="L105" s="2"/>
      <c r="M105" s="2"/>
      <c r="N105" s="2"/>
      <c r="O105" s="2"/>
      <c r="P105" s="2"/>
      <c r="Q105" s="2"/>
      <c r="R105" s="2"/>
      <c r="S105" s="2"/>
      <c r="T105" s="2"/>
      <c r="U105" s="2"/>
      <c r="V105" s="2"/>
      <c r="W105" s="2"/>
      <c r="X105" s="2"/>
      <c r="Y105" s="2"/>
      <c r="Z105" s="2"/>
    </row>
    <row r="106" ht="15.75" customHeight="1">
      <c r="A106" s="1"/>
      <c r="B106" s="1"/>
      <c r="C106" s="1"/>
      <c r="D106" s="1"/>
      <c r="E106" s="1"/>
      <c r="F106" s="1"/>
      <c r="G106" s="2"/>
      <c r="H106" s="2"/>
      <c r="I106" s="2"/>
      <c r="J106" s="2"/>
      <c r="K106" s="2"/>
      <c r="L106" s="2"/>
      <c r="M106" s="2"/>
      <c r="N106" s="2"/>
      <c r="O106" s="2"/>
      <c r="P106" s="2"/>
      <c r="Q106" s="2"/>
      <c r="R106" s="2"/>
      <c r="S106" s="2"/>
      <c r="T106" s="2"/>
      <c r="U106" s="2"/>
      <c r="V106" s="2"/>
      <c r="W106" s="2"/>
      <c r="X106" s="2"/>
      <c r="Y106" s="2"/>
      <c r="Z106" s="2"/>
    </row>
    <row r="107" ht="15.75" customHeight="1">
      <c r="A107" s="1"/>
      <c r="B107" s="1"/>
      <c r="C107" s="1"/>
      <c r="D107" s="1"/>
      <c r="E107" s="1"/>
      <c r="F107" s="1"/>
      <c r="G107" s="2"/>
      <c r="H107" s="2"/>
      <c r="I107" s="2"/>
      <c r="J107" s="2"/>
      <c r="K107" s="2"/>
      <c r="L107" s="2"/>
      <c r="M107" s="2"/>
      <c r="N107" s="2"/>
      <c r="O107" s="2"/>
      <c r="P107" s="2"/>
      <c r="Q107" s="2"/>
      <c r="R107" s="2"/>
      <c r="S107" s="2"/>
      <c r="T107" s="2"/>
      <c r="U107" s="2"/>
      <c r="V107" s="2"/>
      <c r="W107" s="2"/>
      <c r="X107" s="2"/>
      <c r="Y107" s="2"/>
      <c r="Z107" s="2"/>
    </row>
    <row r="108" ht="15.75" customHeight="1">
      <c r="A108" s="1"/>
      <c r="B108" s="1"/>
      <c r="C108" s="1"/>
      <c r="D108" s="1"/>
      <c r="E108" s="1"/>
      <c r="F108" s="1"/>
      <c r="G108" s="2"/>
      <c r="H108" s="2"/>
      <c r="I108" s="2"/>
      <c r="J108" s="2"/>
      <c r="K108" s="2"/>
      <c r="L108" s="2"/>
      <c r="M108" s="2"/>
      <c r="N108" s="2"/>
      <c r="O108" s="2"/>
      <c r="P108" s="2"/>
      <c r="Q108" s="2"/>
      <c r="R108" s="2"/>
      <c r="S108" s="2"/>
      <c r="T108" s="2"/>
      <c r="U108" s="2"/>
      <c r="V108" s="2"/>
      <c r="W108" s="2"/>
      <c r="X108" s="2"/>
      <c r="Y108" s="2"/>
      <c r="Z108" s="2"/>
    </row>
    <row r="109" ht="15.75" customHeight="1">
      <c r="A109" s="1"/>
      <c r="B109" s="1"/>
      <c r="C109" s="1"/>
      <c r="D109" s="1"/>
      <c r="E109" s="1"/>
      <c r="F109" s="1"/>
      <c r="G109" s="2"/>
      <c r="H109" s="2"/>
      <c r="I109" s="2"/>
      <c r="J109" s="2"/>
      <c r="K109" s="2"/>
      <c r="L109" s="2"/>
      <c r="M109" s="2"/>
      <c r="N109" s="2"/>
      <c r="O109" s="2"/>
      <c r="P109" s="2"/>
      <c r="Q109" s="2"/>
      <c r="R109" s="2"/>
      <c r="S109" s="2"/>
      <c r="T109" s="2"/>
      <c r="U109" s="2"/>
      <c r="V109" s="2"/>
      <c r="W109" s="2"/>
      <c r="X109" s="2"/>
      <c r="Y109" s="2"/>
      <c r="Z109" s="2"/>
    </row>
    <row r="110" ht="15.75" customHeight="1">
      <c r="A110" s="1"/>
      <c r="B110" s="1"/>
      <c r="C110" s="1"/>
      <c r="D110" s="1"/>
      <c r="E110" s="1"/>
      <c r="F110" s="1"/>
      <c r="G110" s="2"/>
      <c r="H110" s="2"/>
      <c r="I110" s="2"/>
      <c r="J110" s="2"/>
      <c r="K110" s="2"/>
      <c r="L110" s="2"/>
      <c r="M110" s="2"/>
      <c r="N110" s="2"/>
      <c r="O110" s="2"/>
      <c r="P110" s="2"/>
      <c r="Q110" s="2"/>
      <c r="R110" s="2"/>
      <c r="S110" s="2"/>
      <c r="T110" s="2"/>
      <c r="U110" s="2"/>
      <c r="V110" s="2"/>
      <c r="W110" s="2"/>
      <c r="X110" s="2"/>
      <c r="Y110" s="2"/>
      <c r="Z110" s="2"/>
    </row>
    <row r="111" ht="15.75" customHeight="1">
      <c r="A111" s="1"/>
      <c r="B111" s="1"/>
      <c r="C111" s="1"/>
      <c r="D111" s="1"/>
      <c r="E111" s="1"/>
      <c r="F111" s="1"/>
      <c r="G111" s="2"/>
      <c r="H111" s="2"/>
      <c r="I111" s="2"/>
      <c r="J111" s="2"/>
      <c r="K111" s="2"/>
      <c r="L111" s="2"/>
      <c r="M111" s="2"/>
      <c r="N111" s="2"/>
      <c r="O111" s="2"/>
      <c r="P111" s="2"/>
      <c r="Q111" s="2"/>
      <c r="R111" s="2"/>
      <c r="S111" s="2"/>
      <c r="T111" s="2"/>
      <c r="U111" s="2"/>
      <c r="V111" s="2"/>
      <c r="W111" s="2"/>
      <c r="X111" s="2"/>
      <c r="Y111" s="2"/>
      <c r="Z111" s="2"/>
    </row>
    <row r="112" ht="15.75" customHeight="1">
      <c r="A112" s="1"/>
      <c r="B112" s="1"/>
      <c r="C112" s="1"/>
      <c r="D112" s="1"/>
      <c r="E112" s="1"/>
      <c r="F112" s="1"/>
      <c r="G112" s="2"/>
      <c r="H112" s="2"/>
      <c r="I112" s="2"/>
      <c r="J112" s="2"/>
      <c r="K112" s="2"/>
      <c r="L112" s="2"/>
      <c r="M112" s="2"/>
      <c r="N112" s="2"/>
      <c r="O112" s="2"/>
      <c r="P112" s="2"/>
      <c r="Q112" s="2"/>
      <c r="R112" s="2"/>
      <c r="S112" s="2"/>
      <c r="T112" s="2"/>
      <c r="U112" s="2"/>
      <c r="V112" s="2"/>
      <c r="W112" s="2"/>
      <c r="X112" s="2"/>
      <c r="Y112" s="2"/>
      <c r="Z112" s="2"/>
    </row>
    <row r="113" ht="15.75" customHeight="1">
      <c r="A113" s="1"/>
      <c r="B113" s="1"/>
      <c r="C113" s="1"/>
      <c r="D113" s="1"/>
      <c r="E113" s="1"/>
      <c r="F113" s="1"/>
      <c r="G113" s="2"/>
      <c r="H113" s="2"/>
      <c r="I113" s="2"/>
      <c r="J113" s="2"/>
      <c r="K113" s="2"/>
      <c r="L113" s="2"/>
      <c r="M113" s="2"/>
      <c r="N113" s="2"/>
      <c r="O113" s="2"/>
      <c r="P113" s="2"/>
      <c r="Q113" s="2"/>
      <c r="R113" s="2"/>
      <c r="S113" s="2"/>
      <c r="T113" s="2"/>
      <c r="U113" s="2"/>
      <c r="V113" s="2"/>
      <c r="W113" s="2"/>
      <c r="X113" s="2"/>
      <c r="Y113" s="2"/>
      <c r="Z113" s="2"/>
    </row>
    <row r="114" ht="15.75" customHeight="1">
      <c r="A114" s="1"/>
      <c r="B114" s="1"/>
      <c r="C114" s="1"/>
      <c r="D114" s="1"/>
      <c r="E114" s="1"/>
      <c r="F114" s="1"/>
      <c r="G114" s="2"/>
      <c r="H114" s="2"/>
      <c r="I114" s="2"/>
      <c r="J114" s="2"/>
      <c r="K114" s="2"/>
      <c r="L114" s="2"/>
      <c r="M114" s="2"/>
      <c r="N114" s="2"/>
      <c r="O114" s="2"/>
      <c r="P114" s="2"/>
      <c r="Q114" s="2"/>
      <c r="R114" s="2"/>
      <c r="S114" s="2"/>
      <c r="T114" s="2"/>
      <c r="U114" s="2"/>
      <c r="V114" s="2"/>
      <c r="W114" s="2"/>
      <c r="X114" s="2"/>
      <c r="Y114" s="2"/>
      <c r="Z114" s="2"/>
    </row>
    <row r="115" ht="15.75" customHeight="1">
      <c r="A115" s="1"/>
      <c r="B115" s="1"/>
      <c r="C115" s="1"/>
      <c r="D115" s="1"/>
      <c r="E115" s="1"/>
      <c r="F115" s="1"/>
      <c r="G115" s="2"/>
      <c r="H115" s="2"/>
      <c r="I115" s="2"/>
      <c r="J115" s="2"/>
      <c r="K115" s="2"/>
      <c r="L115" s="2"/>
      <c r="M115" s="2"/>
      <c r="N115" s="2"/>
      <c r="O115" s="2"/>
      <c r="P115" s="2"/>
      <c r="Q115" s="2"/>
      <c r="R115" s="2"/>
      <c r="S115" s="2"/>
      <c r="T115" s="2"/>
      <c r="U115" s="2"/>
      <c r="V115" s="2"/>
      <c r="W115" s="2"/>
      <c r="X115" s="2"/>
      <c r="Y115" s="2"/>
      <c r="Z115" s="2"/>
    </row>
    <row r="116" ht="15.75" customHeight="1">
      <c r="A116" s="1"/>
      <c r="B116" s="1"/>
      <c r="C116" s="1"/>
      <c r="D116" s="1"/>
      <c r="E116" s="1"/>
      <c r="F116" s="1"/>
      <c r="G116" s="2"/>
      <c r="H116" s="2"/>
      <c r="I116" s="2"/>
      <c r="J116" s="2"/>
      <c r="K116" s="2"/>
      <c r="L116" s="2"/>
      <c r="M116" s="2"/>
      <c r="N116" s="2"/>
      <c r="O116" s="2"/>
      <c r="P116" s="2"/>
      <c r="Q116" s="2"/>
      <c r="R116" s="2"/>
      <c r="S116" s="2"/>
      <c r="T116" s="2"/>
      <c r="U116" s="2"/>
      <c r="V116" s="2"/>
      <c r="W116" s="2"/>
      <c r="X116" s="2"/>
      <c r="Y116" s="2"/>
      <c r="Z116" s="2"/>
    </row>
    <row r="117" ht="15.75" customHeight="1">
      <c r="A117" s="1"/>
      <c r="B117" s="1"/>
      <c r="C117" s="1"/>
      <c r="D117" s="1"/>
      <c r="E117" s="1"/>
      <c r="F117" s="1"/>
      <c r="G117" s="2"/>
      <c r="H117" s="2"/>
      <c r="I117" s="2"/>
      <c r="J117" s="2"/>
      <c r="K117" s="2"/>
      <c r="L117" s="2"/>
      <c r="M117" s="2"/>
      <c r="N117" s="2"/>
      <c r="O117" s="2"/>
      <c r="P117" s="2"/>
      <c r="Q117" s="2"/>
      <c r="R117" s="2"/>
      <c r="S117" s="2"/>
      <c r="T117" s="2"/>
      <c r="U117" s="2"/>
      <c r="V117" s="2"/>
      <c r="W117" s="2"/>
      <c r="X117" s="2"/>
      <c r="Y117" s="2"/>
      <c r="Z117" s="2"/>
    </row>
    <row r="118" ht="15.75" customHeight="1">
      <c r="A118" s="1"/>
      <c r="B118" s="1"/>
      <c r="C118" s="1"/>
      <c r="D118" s="1"/>
      <c r="E118" s="1"/>
      <c r="F118" s="1"/>
      <c r="G118" s="2"/>
      <c r="H118" s="2"/>
      <c r="I118" s="2"/>
      <c r="J118" s="2"/>
      <c r="K118" s="2"/>
      <c r="L118" s="2"/>
      <c r="M118" s="2"/>
      <c r="N118" s="2"/>
      <c r="O118" s="2"/>
      <c r="P118" s="2"/>
      <c r="Q118" s="2"/>
      <c r="R118" s="2"/>
      <c r="S118" s="2"/>
      <c r="T118" s="2"/>
      <c r="U118" s="2"/>
      <c r="V118" s="2"/>
      <c r="W118" s="2"/>
      <c r="X118" s="2"/>
      <c r="Y118" s="2"/>
      <c r="Z118" s="2"/>
    </row>
    <row r="119" ht="15.75" customHeight="1">
      <c r="A119" s="1"/>
      <c r="B119" s="1"/>
      <c r="C119" s="1"/>
      <c r="D119" s="1"/>
      <c r="E119" s="1"/>
      <c r="F119" s="1"/>
      <c r="G119" s="2"/>
      <c r="H119" s="2"/>
      <c r="I119" s="2"/>
      <c r="J119" s="2"/>
      <c r="K119" s="2"/>
      <c r="L119" s="2"/>
      <c r="M119" s="2"/>
      <c r="N119" s="2"/>
      <c r="O119" s="2"/>
      <c r="P119" s="2"/>
      <c r="Q119" s="2"/>
      <c r="R119" s="2"/>
      <c r="S119" s="2"/>
      <c r="T119" s="2"/>
      <c r="U119" s="2"/>
      <c r="V119" s="2"/>
      <c r="W119" s="2"/>
      <c r="X119" s="2"/>
      <c r="Y119" s="2"/>
      <c r="Z119" s="2"/>
    </row>
    <row r="120" ht="15.75" customHeight="1">
      <c r="A120" s="1"/>
      <c r="B120" s="1"/>
      <c r="C120" s="1"/>
      <c r="D120" s="1"/>
      <c r="E120" s="1"/>
      <c r="F120" s="1"/>
      <c r="G120" s="2"/>
      <c r="H120" s="2"/>
      <c r="I120" s="2"/>
      <c r="J120" s="2"/>
      <c r="K120" s="2"/>
      <c r="L120" s="2"/>
      <c r="M120" s="2"/>
      <c r="N120" s="2"/>
      <c r="O120" s="2"/>
      <c r="P120" s="2"/>
      <c r="Q120" s="2"/>
      <c r="R120" s="2"/>
      <c r="S120" s="2"/>
      <c r="T120" s="2"/>
      <c r="U120" s="2"/>
      <c r="V120" s="2"/>
      <c r="W120" s="2"/>
      <c r="X120" s="2"/>
      <c r="Y120" s="2"/>
      <c r="Z120" s="2"/>
    </row>
    <row r="121" ht="15.75" customHeight="1">
      <c r="A121" s="1"/>
      <c r="B121" s="1"/>
      <c r="C121" s="1"/>
      <c r="D121" s="1"/>
      <c r="E121" s="1"/>
      <c r="F121" s="1"/>
      <c r="G121" s="2"/>
      <c r="H121" s="2"/>
      <c r="I121" s="2"/>
      <c r="J121" s="2"/>
      <c r="K121" s="2"/>
      <c r="L121" s="2"/>
      <c r="M121" s="2"/>
      <c r="N121" s="2"/>
      <c r="O121" s="2"/>
      <c r="P121" s="2"/>
      <c r="Q121" s="2"/>
      <c r="R121" s="2"/>
      <c r="S121" s="2"/>
      <c r="T121" s="2"/>
      <c r="U121" s="2"/>
      <c r="V121" s="2"/>
      <c r="W121" s="2"/>
      <c r="X121" s="2"/>
      <c r="Y121" s="2"/>
      <c r="Z121" s="2"/>
    </row>
    <row r="122" ht="15.75" customHeight="1">
      <c r="A122" s="1"/>
      <c r="B122" s="1"/>
      <c r="C122" s="1"/>
      <c r="D122" s="1"/>
      <c r="E122" s="1"/>
      <c r="F122" s="1"/>
      <c r="G122" s="2"/>
      <c r="H122" s="2"/>
      <c r="I122" s="2"/>
      <c r="J122" s="2"/>
      <c r="K122" s="2"/>
      <c r="L122" s="2"/>
      <c r="M122" s="2"/>
      <c r="N122" s="2"/>
      <c r="O122" s="2"/>
      <c r="P122" s="2"/>
      <c r="Q122" s="2"/>
      <c r="R122" s="2"/>
      <c r="S122" s="2"/>
      <c r="T122" s="2"/>
      <c r="U122" s="2"/>
      <c r="V122" s="2"/>
      <c r="W122" s="2"/>
      <c r="X122" s="2"/>
      <c r="Y122" s="2"/>
      <c r="Z122" s="2"/>
    </row>
    <row r="123" ht="15.75" customHeight="1">
      <c r="A123" s="1"/>
      <c r="B123" s="1"/>
      <c r="C123" s="1"/>
      <c r="D123" s="1"/>
      <c r="E123" s="1"/>
      <c r="F123" s="1"/>
      <c r="G123" s="2"/>
      <c r="H123" s="2"/>
      <c r="I123" s="2"/>
      <c r="J123" s="2"/>
      <c r="K123" s="2"/>
      <c r="L123" s="2"/>
      <c r="M123" s="2"/>
      <c r="N123" s="2"/>
      <c r="O123" s="2"/>
      <c r="P123" s="2"/>
      <c r="Q123" s="2"/>
      <c r="R123" s="2"/>
      <c r="S123" s="2"/>
      <c r="T123" s="2"/>
      <c r="U123" s="2"/>
      <c r="V123" s="2"/>
      <c r="W123" s="2"/>
      <c r="X123" s="2"/>
      <c r="Y123" s="2"/>
      <c r="Z123" s="2"/>
    </row>
    <row r="124" ht="15.75" customHeight="1">
      <c r="A124" s="1"/>
      <c r="B124" s="1"/>
      <c r="C124" s="1"/>
      <c r="D124" s="1"/>
      <c r="E124" s="1"/>
      <c r="F124" s="1"/>
      <c r="G124" s="2"/>
      <c r="H124" s="2"/>
      <c r="I124" s="2"/>
      <c r="J124" s="2"/>
      <c r="K124" s="2"/>
      <c r="L124" s="2"/>
      <c r="M124" s="2"/>
      <c r="N124" s="2"/>
      <c r="O124" s="2"/>
      <c r="P124" s="2"/>
      <c r="Q124" s="2"/>
      <c r="R124" s="2"/>
      <c r="S124" s="2"/>
      <c r="T124" s="2"/>
      <c r="U124" s="2"/>
      <c r="V124" s="2"/>
      <c r="W124" s="2"/>
      <c r="X124" s="2"/>
      <c r="Y124" s="2"/>
      <c r="Z124" s="2"/>
    </row>
    <row r="125" ht="15.75" customHeight="1">
      <c r="A125" s="1"/>
      <c r="B125" s="1"/>
      <c r="C125" s="1"/>
      <c r="D125" s="1"/>
      <c r="E125" s="1"/>
      <c r="F125" s="1"/>
      <c r="G125" s="2"/>
      <c r="H125" s="2"/>
      <c r="I125" s="2"/>
      <c r="J125" s="2"/>
      <c r="K125" s="2"/>
      <c r="L125" s="2"/>
      <c r="M125" s="2"/>
      <c r="N125" s="2"/>
      <c r="O125" s="2"/>
      <c r="P125" s="2"/>
      <c r="Q125" s="2"/>
      <c r="R125" s="2"/>
      <c r="S125" s="2"/>
      <c r="T125" s="2"/>
      <c r="U125" s="2"/>
      <c r="V125" s="2"/>
      <c r="W125" s="2"/>
      <c r="X125" s="2"/>
      <c r="Y125" s="2"/>
      <c r="Z125" s="2"/>
    </row>
    <row r="126" ht="15.75" customHeight="1">
      <c r="A126" s="1"/>
      <c r="B126" s="1"/>
      <c r="C126" s="1"/>
      <c r="D126" s="1"/>
      <c r="E126" s="1"/>
      <c r="F126" s="1"/>
      <c r="G126" s="2"/>
      <c r="H126" s="2"/>
      <c r="I126" s="2"/>
      <c r="J126" s="2"/>
      <c r="K126" s="2"/>
      <c r="L126" s="2"/>
      <c r="M126" s="2"/>
      <c r="N126" s="2"/>
      <c r="O126" s="2"/>
      <c r="P126" s="2"/>
      <c r="Q126" s="2"/>
      <c r="R126" s="2"/>
      <c r="S126" s="2"/>
      <c r="T126" s="2"/>
      <c r="U126" s="2"/>
      <c r="V126" s="2"/>
      <c r="W126" s="2"/>
      <c r="X126" s="2"/>
      <c r="Y126" s="2"/>
      <c r="Z126" s="2"/>
    </row>
    <row r="127" ht="15.75" customHeight="1">
      <c r="A127" s="1"/>
      <c r="B127" s="1"/>
      <c r="C127" s="1"/>
      <c r="D127" s="1"/>
      <c r="E127" s="1"/>
      <c r="F127" s="1"/>
      <c r="G127" s="2"/>
      <c r="H127" s="2"/>
      <c r="I127" s="2"/>
      <c r="J127" s="2"/>
      <c r="K127" s="2"/>
      <c r="L127" s="2"/>
      <c r="M127" s="2"/>
      <c r="N127" s="2"/>
      <c r="O127" s="2"/>
      <c r="P127" s="2"/>
      <c r="Q127" s="2"/>
      <c r="R127" s="2"/>
      <c r="S127" s="2"/>
      <c r="T127" s="2"/>
      <c r="U127" s="2"/>
      <c r="V127" s="2"/>
      <c r="W127" s="2"/>
      <c r="X127" s="2"/>
      <c r="Y127" s="2"/>
      <c r="Z127" s="2"/>
    </row>
    <row r="128" ht="15.75" customHeight="1">
      <c r="A128" s="1"/>
      <c r="B128" s="1"/>
      <c r="C128" s="1"/>
      <c r="D128" s="1"/>
      <c r="E128" s="1"/>
      <c r="F128" s="1"/>
      <c r="G128" s="2"/>
      <c r="H128" s="2"/>
      <c r="I128" s="2"/>
      <c r="J128" s="2"/>
      <c r="K128" s="2"/>
      <c r="L128" s="2"/>
      <c r="M128" s="2"/>
      <c r="N128" s="2"/>
      <c r="O128" s="2"/>
      <c r="P128" s="2"/>
      <c r="Q128" s="2"/>
      <c r="R128" s="2"/>
      <c r="S128" s="2"/>
      <c r="T128" s="2"/>
      <c r="U128" s="2"/>
      <c r="V128" s="2"/>
      <c r="W128" s="2"/>
      <c r="X128" s="2"/>
      <c r="Y128" s="2"/>
      <c r="Z128" s="2"/>
    </row>
    <row r="129" ht="15.75" customHeight="1">
      <c r="A129" s="1"/>
      <c r="B129" s="1"/>
      <c r="C129" s="1"/>
      <c r="D129" s="1"/>
      <c r="E129" s="1"/>
      <c r="F129" s="1"/>
      <c r="G129" s="2"/>
      <c r="H129" s="2"/>
      <c r="I129" s="2"/>
      <c r="J129" s="2"/>
      <c r="K129" s="2"/>
      <c r="L129" s="2"/>
      <c r="M129" s="2"/>
      <c r="N129" s="2"/>
      <c r="O129" s="2"/>
      <c r="P129" s="2"/>
      <c r="Q129" s="2"/>
      <c r="R129" s="2"/>
      <c r="S129" s="2"/>
      <c r="T129" s="2"/>
      <c r="U129" s="2"/>
      <c r="V129" s="2"/>
      <c r="W129" s="2"/>
      <c r="X129" s="2"/>
      <c r="Y129" s="2"/>
      <c r="Z129" s="2"/>
    </row>
    <row r="130" ht="15.75" customHeight="1">
      <c r="A130" s="1"/>
      <c r="B130" s="1"/>
      <c r="C130" s="1"/>
      <c r="D130" s="1"/>
      <c r="E130" s="1"/>
      <c r="F130" s="1"/>
      <c r="G130" s="2"/>
      <c r="H130" s="2"/>
      <c r="I130" s="2"/>
      <c r="J130" s="2"/>
      <c r="K130" s="2"/>
      <c r="L130" s="2"/>
      <c r="M130" s="2"/>
      <c r="N130" s="2"/>
      <c r="O130" s="2"/>
      <c r="P130" s="2"/>
      <c r="Q130" s="2"/>
      <c r="R130" s="2"/>
      <c r="S130" s="2"/>
      <c r="T130" s="2"/>
      <c r="U130" s="2"/>
      <c r="V130" s="2"/>
      <c r="W130" s="2"/>
      <c r="X130" s="2"/>
      <c r="Y130" s="2"/>
      <c r="Z130" s="2"/>
    </row>
    <row r="131" ht="15.75" customHeight="1">
      <c r="A131" s="1"/>
      <c r="B131" s="1"/>
      <c r="C131" s="1"/>
      <c r="D131" s="1"/>
      <c r="E131" s="1"/>
      <c r="F131" s="1"/>
      <c r="G131" s="2"/>
      <c r="H131" s="2"/>
      <c r="I131" s="2"/>
      <c r="J131" s="2"/>
      <c r="K131" s="2"/>
      <c r="L131" s="2"/>
      <c r="M131" s="2"/>
      <c r="N131" s="2"/>
      <c r="O131" s="2"/>
      <c r="P131" s="2"/>
      <c r="Q131" s="2"/>
      <c r="R131" s="2"/>
      <c r="S131" s="2"/>
      <c r="T131" s="2"/>
      <c r="U131" s="2"/>
      <c r="V131" s="2"/>
      <c r="W131" s="2"/>
      <c r="X131" s="2"/>
      <c r="Y131" s="2"/>
      <c r="Z131" s="2"/>
    </row>
    <row r="132" ht="15.75" customHeight="1">
      <c r="A132" s="1"/>
      <c r="B132" s="1"/>
      <c r="C132" s="1"/>
      <c r="D132" s="1"/>
      <c r="E132" s="1"/>
      <c r="F132" s="1"/>
      <c r="G132" s="2"/>
      <c r="H132" s="2"/>
      <c r="I132" s="2"/>
      <c r="J132" s="2"/>
      <c r="K132" s="2"/>
      <c r="L132" s="2"/>
      <c r="M132" s="2"/>
      <c r="N132" s="2"/>
      <c r="O132" s="2"/>
      <c r="P132" s="2"/>
      <c r="Q132" s="2"/>
      <c r="R132" s="2"/>
      <c r="S132" s="2"/>
      <c r="T132" s="2"/>
      <c r="U132" s="2"/>
      <c r="V132" s="2"/>
      <c r="W132" s="2"/>
      <c r="X132" s="2"/>
      <c r="Y132" s="2"/>
      <c r="Z132" s="2"/>
    </row>
    <row r="133" ht="15.75" customHeight="1">
      <c r="A133" s="1"/>
      <c r="B133" s="1"/>
      <c r="C133" s="1"/>
      <c r="D133" s="1"/>
      <c r="E133" s="1"/>
      <c r="F133" s="1"/>
      <c r="G133" s="2"/>
      <c r="H133" s="2"/>
      <c r="I133" s="2"/>
      <c r="J133" s="2"/>
      <c r="K133" s="2"/>
      <c r="L133" s="2"/>
      <c r="M133" s="2"/>
      <c r="N133" s="2"/>
      <c r="O133" s="2"/>
      <c r="P133" s="2"/>
      <c r="Q133" s="2"/>
      <c r="R133" s="2"/>
      <c r="S133" s="2"/>
      <c r="T133" s="2"/>
      <c r="U133" s="2"/>
      <c r="V133" s="2"/>
      <c r="W133" s="2"/>
      <c r="X133" s="2"/>
      <c r="Y133" s="2"/>
      <c r="Z133" s="2"/>
    </row>
    <row r="134" ht="15.75" customHeight="1">
      <c r="A134" s="1"/>
      <c r="B134" s="1"/>
      <c r="C134" s="1"/>
      <c r="D134" s="1"/>
      <c r="E134" s="1"/>
      <c r="F134" s="1"/>
      <c r="G134" s="2"/>
      <c r="H134" s="2"/>
      <c r="I134" s="2"/>
      <c r="J134" s="2"/>
      <c r="K134" s="2"/>
      <c r="L134" s="2"/>
      <c r="M134" s="2"/>
      <c r="N134" s="2"/>
      <c r="O134" s="2"/>
      <c r="P134" s="2"/>
      <c r="Q134" s="2"/>
      <c r="R134" s="2"/>
      <c r="S134" s="2"/>
      <c r="T134" s="2"/>
      <c r="U134" s="2"/>
      <c r="V134" s="2"/>
      <c r="W134" s="2"/>
      <c r="X134" s="2"/>
      <c r="Y134" s="2"/>
      <c r="Z134" s="2"/>
    </row>
    <row r="135" ht="15.75" customHeight="1">
      <c r="A135" s="1"/>
      <c r="B135" s="1"/>
      <c r="C135" s="1"/>
      <c r="D135" s="1"/>
      <c r="E135" s="1"/>
      <c r="F135" s="1"/>
      <c r="G135" s="2"/>
      <c r="H135" s="2"/>
      <c r="I135" s="2"/>
      <c r="J135" s="2"/>
      <c r="K135" s="2"/>
      <c r="L135" s="2"/>
      <c r="M135" s="2"/>
      <c r="N135" s="2"/>
      <c r="O135" s="2"/>
      <c r="P135" s="2"/>
      <c r="Q135" s="2"/>
      <c r="R135" s="2"/>
      <c r="S135" s="2"/>
      <c r="T135" s="2"/>
      <c r="U135" s="2"/>
      <c r="V135" s="2"/>
      <c r="W135" s="2"/>
      <c r="X135" s="2"/>
      <c r="Y135" s="2"/>
      <c r="Z135" s="2"/>
    </row>
    <row r="136" ht="15.75" customHeight="1">
      <c r="A136" s="1"/>
      <c r="B136" s="1"/>
      <c r="C136" s="1"/>
      <c r="D136" s="1"/>
      <c r="E136" s="1"/>
      <c r="F136" s="1"/>
      <c r="G136" s="2"/>
      <c r="H136" s="2"/>
      <c r="I136" s="2"/>
      <c r="J136" s="2"/>
      <c r="K136" s="2"/>
      <c r="L136" s="2"/>
      <c r="M136" s="2"/>
      <c r="N136" s="2"/>
      <c r="O136" s="2"/>
      <c r="P136" s="2"/>
      <c r="Q136" s="2"/>
      <c r="R136" s="2"/>
      <c r="S136" s="2"/>
      <c r="T136" s="2"/>
      <c r="U136" s="2"/>
      <c r="V136" s="2"/>
      <c r="W136" s="2"/>
      <c r="X136" s="2"/>
      <c r="Y136" s="2"/>
      <c r="Z136" s="2"/>
    </row>
    <row r="137" ht="15.75" customHeight="1">
      <c r="A137" s="1"/>
      <c r="B137" s="1"/>
      <c r="C137" s="1"/>
      <c r="D137" s="1"/>
      <c r="E137" s="1"/>
      <c r="F137" s="1"/>
      <c r="G137" s="2"/>
      <c r="H137" s="2"/>
      <c r="I137" s="2"/>
      <c r="J137" s="2"/>
      <c r="K137" s="2"/>
      <c r="L137" s="2"/>
      <c r="M137" s="2"/>
      <c r="N137" s="2"/>
      <c r="O137" s="2"/>
      <c r="P137" s="2"/>
      <c r="Q137" s="2"/>
      <c r="R137" s="2"/>
      <c r="S137" s="2"/>
      <c r="T137" s="2"/>
      <c r="U137" s="2"/>
      <c r="V137" s="2"/>
      <c r="W137" s="2"/>
      <c r="X137" s="2"/>
      <c r="Y137" s="2"/>
      <c r="Z137" s="2"/>
    </row>
    <row r="138" ht="15.75" customHeight="1">
      <c r="A138" s="1"/>
      <c r="B138" s="1"/>
      <c r="C138" s="1"/>
      <c r="D138" s="1"/>
      <c r="E138" s="1"/>
      <c r="F138" s="1"/>
      <c r="G138" s="2"/>
      <c r="H138" s="2"/>
      <c r="I138" s="2"/>
      <c r="J138" s="2"/>
      <c r="K138" s="2"/>
      <c r="L138" s="2"/>
      <c r="M138" s="2"/>
      <c r="N138" s="2"/>
      <c r="O138" s="2"/>
      <c r="P138" s="2"/>
      <c r="Q138" s="2"/>
      <c r="R138" s="2"/>
      <c r="S138" s="2"/>
      <c r="T138" s="2"/>
      <c r="U138" s="2"/>
      <c r="V138" s="2"/>
      <c r="W138" s="2"/>
      <c r="X138" s="2"/>
      <c r="Y138" s="2"/>
      <c r="Z138" s="2"/>
    </row>
    <row r="139" ht="15.75" customHeight="1">
      <c r="A139" s="1"/>
      <c r="B139" s="1"/>
      <c r="C139" s="1"/>
      <c r="D139" s="1"/>
      <c r="E139" s="1"/>
      <c r="F139" s="1"/>
      <c r="G139" s="2"/>
      <c r="H139" s="2"/>
      <c r="I139" s="2"/>
      <c r="J139" s="2"/>
      <c r="K139" s="2"/>
      <c r="L139" s="2"/>
      <c r="M139" s="2"/>
      <c r="N139" s="2"/>
      <c r="O139" s="2"/>
      <c r="P139" s="2"/>
      <c r="Q139" s="2"/>
      <c r="R139" s="2"/>
      <c r="S139" s="2"/>
      <c r="T139" s="2"/>
      <c r="U139" s="2"/>
      <c r="V139" s="2"/>
      <c r="W139" s="2"/>
      <c r="X139" s="2"/>
      <c r="Y139" s="2"/>
      <c r="Z139" s="2"/>
    </row>
    <row r="140" ht="15.75" customHeight="1">
      <c r="A140" s="1"/>
      <c r="B140" s="1"/>
      <c r="C140" s="1"/>
      <c r="D140" s="1"/>
      <c r="E140" s="1"/>
      <c r="F140" s="1"/>
      <c r="G140" s="2"/>
      <c r="H140" s="2"/>
      <c r="I140" s="2"/>
      <c r="J140" s="2"/>
      <c r="K140" s="2"/>
      <c r="L140" s="2"/>
      <c r="M140" s="2"/>
      <c r="N140" s="2"/>
      <c r="O140" s="2"/>
      <c r="P140" s="2"/>
      <c r="Q140" s="2"/>
      <c r="R140" s="2"/>
      <c r="S140" s="2"/>
      <c r="T140" s="2"/>
      <c r="U140" s="2"/>
      <c r="V140" s="2"/>
      <c r="W140" s="2"/>
      <c r="X140" s="2"/>
      <c r="Y140" s="2"/>
      <c r="Z140" s="2"/>
    </row>
    <row r="141" ht="15.75" customHeight="1">
      <c r="A141" s="1"/>
      <c r="B141" s="1"/>
      <c r="C141" s="1"/>
      <c r="D141" s="1"/>
      <c r="E141" s="1"/>
      <c r="F141" s="1"/>
      <c r="G141" s="2"/>
      <c r="H141" s="2"/>
      <c r="I141" s="2"/>
      <c r="J141" s="2"/>
      <c r="K141" s="2"/>
      <c r="L141" s="2"/>
      <c r="M141" s="2"/>
      <c r="N141" s="2"/>
      <c r="O141" s="2"/>
      <c r="P141" s="2"/>
      <c r="Q141" s="2"/>
      <c r="R141" s="2"/>
      <c r="S141" s="2"/>
      <c r="T141" s="2"/>
      <c r="U141" s="2"/>
      <c r="V141" s="2"/>
      <c r="W141" s="2"/>
      <c r="X141" s="2"/>
      <c r="Y141" s="2"/>
      <c r="Z141" s="2"/>
    </row>
    <row r="142" ht="15.75" customHeight="1">
      <c r="A142" s="1"/>
      <c r="B142" s="1"/>
      <c r="C142" s="1"/>
      <c r="D142" s="1"/>
      <c r="E142" s="1"/>
      <c r="F142" s="1"/>
      <c r="G142" s="2"/>
      <c r="H142" s="2"/>
      <c r="I142" s="2"/>
      <c r="J142" s="2"/>
      <c r="K142" s="2"/>
      <c r="L142" s="2"/>
      <c r="M142" s="2"/>
      <c r="N142" s="2"/>
      <c r="O142" s="2"/>
      <c r="P142" s="2"/>
      <c r="Q142" s="2"/>
      <c r="R142" s="2"/>
      <c r="S142" s="2"/>
      <c r="T142" s="2"/>
      <c r="U142" s="2"/>
      <c r="V142" s="2"/>
      <c r="W142" s="2"/>
      <c r="X142" s="2"/>
      <c r="Y142" s="2"/>
      <c r="Z142" s="2"/>
    </row>
    <row r="143" ht="15.75" customHeight="1">
      <c r="A143" s="1"/>
      <c r="B143" s="1"/>
      <c r="C143" s="1"/>
      <c r="D143" s="1"/>
      <c r="E143" s="1"/>
      <c r="F143" s="1"/>
      <c r="G143" s="2"/>
      <c r="H143" s="2"/>
      <c r="I143" s="2"/>
      <c r="J143" s="2"/>
      <c r="K143" s="2"/>
      <c r="L143" s="2"/>
      <c r="M143" s="2"/>
      <c r="N143" s="2"/>
      <c r="O143" s="2"/>
      <c r="P143" s="2"/>
      <c r="Q143" s="2"/>
      <c r="R143" s="2"/>
      <c r="S143" s="2"/>
      <c r="T143" s="2"/>
      <c r="U143" s="2"/>
      <c r="V143" s="2"/>
      <c r="W143" s="2"/>
      <c r="X143" s="2"/>
      <c r="Y143" s="2"/>
      <c r="Z143" s="2"/>
    </row>
    <row r="144" ht="15.75" customHeight="1">
      <c r="A144" s="1"/>
      <c r="B144" s="1"/>
      <c r="C144" s="1"/>
      <c r="D144" s="1"/>
      <c r="E144" s="1"/>
      <c r="F144" s="1"/>
      <c r="G144" s="2"/>
      <c r="H144" s="2"/>
      <c r="I144" s="2"/>
      <c r="J144" s="2"/>
      <c r="K144" s="2"/>
      <c r="L144" s="2"/>
      <c r="M144" s="2"/>
      <c r="N144" s="2"/>
      <c r="O144" s="2"/>
      <c r="P144" s="2"/>
      <c r="Q144" s="2"/>
      <c r="R144" s="2"/>
      <c r="S144" s="2"/>
      <c r="T144" s="2"/>
      <c r="U144" s="2"/>
      <c r="V144" s="2"/>
      <c r="W144" s="2"/>
      <c r="X144" s="2"/>
      <c r="Y144" s="2"/>
      <c r="Z144" s="2"/>
    </row>
    <row r="145" ht="15.75" customHeight="1">
      <c r="A145" s="1"/>
      <c r="B145" s="1"/>
      <c r="C145" s="1"/>
      <c r="D145" s="1"/>
      <c r="E145" s="1"/>
      <c r="F145" s="1"/>
      <c r="G145" s="2"/>
      <c r="H145" s="2"/>
      <c r="I145" s="2"/>
      <c r="J145" s="2"/>
      <c r="K145" s="2"/>
      <c r="L145" s="2"/>
      <c r="M145" s="2"/>
      <c r="N145" s="2"/>
      <c r="O145" s="2"/>
      <c r="P145" s="2"/>
      <c r="Q145" s="2"/>
      <c r="R145" s="2"/>
      <c r="S145" s="2"/>
      <c r="T145" s="2"/>
      <c r="U145" s="2"/>
      <c r="V145" s="2"/>
      <c r="W145" s="2"/>
      <c r="X145" s="2"/>
      <c r="Y145" s="2"/>
      <c r="Z145" s="2"/>
    </row>
    <row r="146" ht="15.75" customHeight="1">
      <c r="A146" s="1"/>
      <c r="B146" s="1"/>
      <c r="C146" s="1"/>
      <c r="D146" s="1"/>
      <c r="E146" s="1"/>
      <c r="F146" s="1"/>
      <c r="G146" s="2"/>
      <c r="H146" s="2"/>
      <c r="I146" s="2"/>
      <c r="J146" s="2"/>
      <c r="K146" s="2"/>
      <c r="L146" s="2"/>
      <c r="M146" s="2"/>
      <c r="N146" s="2"/>
      <c r="O146" s="2"/>
      <c r="P146" s="2"/>
      <c r="Q146" s="2"/>
      <c r="R146" s="2"/>
      <c r="S146" s="2"/>
      <c r="T146" s="2"/>
      <c r="U146" s="2"/>
      <c r="V146" s="2"/>
      <c r="W146" s="2"/>
      <c r="X146" s="2"/>
      <c r="Y146" s="2"/>
      <c r="Z146" s="2"/>
    </row>
    <row r="147" ht="15.75" customHeight="1">
      <c r="A147" s="1"/>
      <c r="B147" s="1"/>
      <c r="C147" s="1"/>
      <c r="D147" s="1"/>
      <c r="E147" s="1"/>
      <c r="F147" s="1"/>
      <c r="G147" s="2"/>
      <c r="H147" s="2"/>
      <c r="I147" s="2"/>
      <c r="J147" s="2"/>
      <c r="K147" s="2"/>
      <c r="L147" s="2"/>
      <c r="M147" s="2"/>
      <c r="N147" s="2"/>
      <c r="O147" s="2"/>
      <c r="P147" s="2"/>
      <c r="Q147" s="2"/>
      <c r="R147" s="2"/>
      <c r="S147" s="2"/>
      <c r="T147" s="2"/>
      <c r="U147" s="2"/>
      <c r="V147" s="2"/>
      <c r="W147" s="2"/>
      <c r="X147" s="2"/>
      <c r="Y147" s="2"/>
      <c r="Z147" s="2"/>
    </row>
    <row r="148" ht="15.75" customHeight="1">
      <c r="A148" s="1"/>
      <c r="B148" s="1"/>
      <c r="C148" s="1"/>
      <c r="D148" s="1"/>
      <c r="E148" s="1"/>
      <c r="F148" s="1"/>
      <c r="G148" s="2"/>
      <c r="H148" s="2"/>
      <c r="I148" s="2"/>
      <c r="J148" s="2"/>
      <c r="K148" s="2"/>
      <c r="L148" s="2"/>
      <c r="M148" s="2"/>
      <c r="N148" s="2"/>
      <c r="O148" s="2"/>
      <c r="P148" s="2"/>
      <c r="Q148" s="2"/>
      <c r="R148" s="2"/>
      <c r="S148" s="2"/>
      <c r="T148" s="2"/>
      <c r="U148" s="2"/>
      <c r="V148" s="2"/>
      <c r="W148" s="2"/>
      <c r="X148" s="2"/>
      <c r="Y148" s="2"/>
      <c r="Z148" s="2"/>
    </row>
    <row r="149" ht="15.75" customHeight="1">
      <c r="A149" s="1"/>
      <c r="B149" s="1"/>
      <c r="C149" s="1"/>
      <c r="D149" s="1"/>
      <c r="E149" s="1"/>
      <c r="F149" s="1"/>
      <c r="G149" s="2"/>
      <c r="H149" s="2"/>
      <c r="I149" s="2"/>
      <c r="J149" s="2"/>
      <c r="K149" s="2"/>
      <c r="L149" s="2"/>
      <c r="M149" s="2"/>
      <c r="N149" s="2"/>
      <c r="O149" s="2"/>
      <c r="P149" s="2"/>
      <c r="Q149" s="2"/>
      <c r="R149" s="2"/>
      <c r="S149" s="2"/>
      <c r="T149" s="2"/>
      <c r="U149" s="2"/>
      <c r="V149" s="2"/>
      <c r="W149" s="2"/>
      <c r="X149" s="2"/>
      <c r="Y149" s="2"/>
      <c r="Z149" s="2"/>
    </row>
    <row r="150" ht="15.75" customHeight="1">
      <c r="A150" s="1"/>
      <c r="B150" s="1"/>
      <c r="C150" s="1"/>
      <c r="D150" s="1"/>
      <c r="E150" s="1"/>
      <c r="F150" s="1"/>
      <c r="G150" s="2"/>
      <c r="H150" s="2"/>
      <c r="I150" s="2"/>
      <c r="J150" s="2"/>
      <c r="K150" s="2"/>
      <c r="L150" s="2"/>
      <c r="M150" s="2"/>
      <c r="N150" s="2"/>
      <c r="O150" s="2"/>
      <c r="P150" s="2"/>
      <c r="Q150" s="2"/>
      <c r="R150" s="2"/>
      <c r="S150" s="2"/>
      <c r="T150" s="2"/>
      <c r="U150" s="2"/>
      <c r="V150" s="2"/>
      <c r="W150" s="2"/>
      <c r="X150" s="2"/>
      <c r="Y150" s="2"/>
      <c r="Z150" s="2"/>
    </row>
    <row r="151" ht="15.75" customHeight="1">
      <c r="A151" s="1"/>
      <c r="B151" s="1"/>
      <c r="C151" s="1"/>
      <c r="D151" s="1"/>
      <c r="E151" s="1"/>
      <c r="F151" s="1"/>
      <c r="G151" s="2"/>
      <c r="H151" s="2"/>
      <c r="I151" s="2"/>
      <c r="J151" s="2"/>
      <c r="K151" s="2"/>
      <c r="L151" s="2"/>
      <c r="M151" s="2"/>
      <c r="N151" s="2"/>
      <c r="O151" s="2"/>
      <c r="P151" s="2"/>
      <c r="Q151" s="2"/>
      <c r="R151" s="2"/>
      <c r="S151" s="2"/>
      <c r="T151" s="2"/>
      <c r="U151" s="2"/>
      <c r="V151" s="2"/>
      <c r="W151" s="2"/>
      <c r="X151" s="2"/>
      <c r="Y151" s="2"/>
      <c r="Z151" s="2"/>
    </row>
    <row r="152" ht="15.75" customHeight="1">
      <c r="A152" s="1"/>
      <c r="B152" s="1"/>
      <c r="C152" s="1"/>
      <c r="D152" s="1"/>
      <c r="E152" s="1"/>
      <c r="F152" s="1"/>
      <c r="G152" s="2"/>
      <c r="H152" s="2"/>
      <c r="I152" s="2"/>
      <c r="J152" s="2"/>
      <c r="K152" s="2"/>
      <c r="L152" s="2"/>
      <c r="M152" s="2"/>
      <c r="N152" s="2"/>
      <c r="O152" s="2"/>
      <c r="P152" s="2"/>
      <c r="Q152" s="2"/>
      <c r="R152" s="2"/>
      <c r="S152" s="2"/>
      <c r="T152" s="2"/>
      <c r="U152" s="2"/>
      <c r="V152" s="2"/>
      <c r="W152" s="2"/>
      <c r="X152" s="2"/>
      <c r="Y152" s="2"/>
      <c r="Z152" s="2"/>
    </row>
    <row r="153" ht="15.75" customHeight="1">
      <c r="A153" s="1"/>
      <c r="B153" s="1"/>
      <c r="C153" s="1"/>
      <c r="D153" s="1"/>
      <c r="E153" s="1"/>
      <c r="F153" s="1"/>
      <c r="G153" s="2"/>
      <c r="H153" s="2"/>
      <c r="I153" s="2"/>
      <c r="J153" s="2"/>
      <c r="K153" s="2"/>
      <c r="L153" s="2"/>
      <c r="M153" s="2"/>
      <c r="N153" s="2"/>
      <c r="O153" s="2"/>
      <c r="P153" s="2"/>
      <c r="Q153" s="2"/>
      <c r="R153" s="2"/>
      <c r="S153" s="2"/>
      <c r="T153" s="2"/>
      <c r="U153" s="2"/>
      <c r="V153" s="2"/>
      <c r="W153" s="2"/>
      <c r="X153" s="2"/>
      <c r="Y153" s="2"/>
      <c r="Z153" s="2"/>
    </row>
    <row r="154" ht="15.75" customHeight="1">
      <c r="A154" s="1"/>
      <c r="B154" s="1"/>
      <c r="C154" s="1"/>
      <c r="D154" s="1"/>
      <c r="E154" s="1"/>
      <c r="F154" s="1"/>
      <c r="G154" s="2"/>
      <c r="H154" s="2"/>
      <c r="I154" s="2"/>
      <c r="J154" s="2"/>
      <c r="K154" s="2"/>
      <c r="L154" s="2"/>
      <c r="M154" s="2"/>
      <c r="N154" s="2"/>
      <c r="O154" s="2"/>
      <c r="P154" s="2"/>
      <c r="Q154" s="2"/>
      <c r="R154" s="2"/>
      <c r="S154" s="2"/>
      <c r="T154" s="2"/>
      <c r="U154" s="2"/>
      <c r="V154" s="2"/>
      <c r="W154" s="2"/>
      <c r="X154" s="2"/>
      <c r="Y154" s="2"/>
      <c r="Z154" s="2"/>
    </row>
    <row r="155" ht="15.75" customHeight="1">
      <c r="A155" s="1"/>
      <c r="B155" s="1"/>
      <c r="C155" s="1"/>
      <c r="D155" s="1"/>
      <c r="E155" s="1"/>
      <c r="F155" s="1"/>
      <c r="G155" s="2"/>
      <c r="H155" s="2"/>
      <c r="I155" s="2"/>
      <c r="J155" s="2"/>
      <c r="K155" s="2"/>
      <c r="L155" s="2"/>
      <c r="M155" s="2"/>
      <c r="N155" s="2"/>
      <c r="O155" s="2"/>
      <c r="P155" s="2"/>
      <c r="Q155" s="2"/>
      <c r="R155" s="2"/>
      <c r="S155" s="2"/>
      <c r="T155" s="2"/>
      <c r="U155" s="2"/>
      <c r="V155" s="2"/>
      <c r="W155" s="2"/>
      <c r="X155" s="2"/>
      <c r="Y155" s="2"/>
      <c r="Z155" s="2"/>
    </row>
    <row r="156" ht="15.75" customHeight="1">
      <c r="A156" s="1"/>
      <c r="B156" s="1"/>
      <c r="C156" s="1"/>
      <c r="D156" s="1"/>
      <c r="E156" s="1"/>
      <c r="F156" s="1"/>
      <c r="G156" s="2"/>
      <c r="H156" s="2"/>
      <c r="I156" s="2"/>
      <c r="J156" s="2"/>
      <c r="K156" s="2"/>
      <c r="L156" s="2"/>
      <c r="M156" s="2"/>
      <c r="N156" s="2"/>
      <c r="O156" s="2"/>
      <c r="P156" s="2"/>
      <c r="Q156" s="2"/>
      <c r="R156" s="2"/>
      <c r="S156" s="2"/>
      <c r="T156" s="2"/>
      <c r="U156" s="2"/>
      <c r="V156" s="2"/>
      <c r="W156" s="2"/>
      <c r="X156" s="2"/>
      <c r="Y156" s="2"/>
      <c r="Z156" s="2"/>
    </row>
    <row r="157" ht="15.75" customHeight="1">
      <c r="A157" s="1"/>
      <c r="B157" s="1"/>
      <c r="C157" s="1"/>
      <c r="D157" s="1"/>
      <c r="E157" s="1"/>
      <c r="F157" s="1"/>
      <c r="G157" s="2"/>
      <c r="H157" s="2"/>
      <c r="I157" s="2"/>
      <c r="J157" s="2"/>
      <c r="K157" s="2"/>
      <c r="L157" s="2"/>
      <c r="M157" s="2"/>
      <c r="N157" s="2"/>
      <c r="O157" s="2"/>
      <c r="P157" s="2"/>
      <c r="Q157" s="2"/>
      <c r="R157" s="2"/>
      <c r="S157" s="2"/>
      <c r="T157" s="2"/>
      <c r="U157" s="2"/>
      <c r="V157" s="2"/>
      <c r="W157" s="2"/>
      <c r="X157" s="2"/>
      <c r="Y157" s="2"/>
      <c r="Z157" s="2"/>
    </row>
    <row r="158" ht="15.75" customHeight="1">
      <c r="A158" s="1"/>
      <c r="B158" s="1"/>
      <c r="C158" s="1"/>
      <c r="D158" s="1"/>
      <c r="E158" s="1"/>
      <c r="F158" s="1"/>
      <c r="G158" s="2"/>
      <c r="H158" s="2"/>
      <c r="I158" s="2"/>
      <c r="J158" s="2"/>
      <c r="K158" s="2"/>
      <c r="L158" s="2"/>
      <c r="M158" s="2"/>
      <c r="N158" s="2"/>
      <c r="O158" s="2"/>
      <c r="P158" s="2"/>
      <c r="Q158" s="2"/>
      <c r="R158" s="2"/>
      <c r="S158" s="2"/>
      <c r="T158" s="2"/>
      <c r="U158" s="2"/>
      <c r="V158" s="2"/>
      <c r="W158" s="2"/>
      <c r="X158" s="2"/>
      <c r="Y158" s="2"/>
      <c r="Z158" s="2"/>
    </row>
    <row r="159" ht="15.75" customHeight="1">
      <c r="A159" s="1"/>
      <c r="B159" s="1"/>
      <c r="C159" s="1"/>
      <c r="D159" s="1"/>
      <c r="E159" s="1"/>
      <c r="F159" s="1"/>
      <c r="G159" s="2"/>
      <c r="H159" s="2"/>
      <c r="I159" s="2"/>
      <c r="J159" s="2"/>
      <c r="K159" s="2"/>
      <c r="L159" s="2"/>
      <c r="M159" s="2"/>
      <c r="N159" s="2"/>
      <c r="O159" s="2"/>
      <c r="P159" s="2"/>
      <c r="Q159" s="2"/>
      <c r="R159" s="2"/>
      <c r="S159" s="2"/>
      <c r="T159" s="2"/>
      <c r="U159" s="2"/>
      <c r="V159" s="2"/>
      <c r="W159" s="2"/>
      <c r="X159" s="2"/>
      <c r="Y159" s="2"/>
      <c r="Z159" s="2"/>
    </row>
    <row r="160" ht="15.75" customHeight="1">
      <c r="A160" s="1"/>
      <c r="B160" s="1"/>
      <c r="C160" s="1"/>
      <c r="D160" s="1"/>
      <c r="E160" s="1"/>
      <c r="F160" s="1"/>
      <c r="G160" s="2"/>
      <c r="H160" s="2"/>
      <c r="I160" s="2"/>
      <c r="J160" s="2"/>
      <c r="K160" s="2"/>
      <c r="L160" s="2"/>
      <c r="M160" s="2"/>
      <c r="N160" s="2"/>
      <c r="O160" s="2"/>
      <c r="P160" s="2"/>
      <c r="Q160" s="2"/>
      <c r="R160" s="2"/>
      <c r="S160" s="2"/>
      <c r="T160" s="2"/>
      <c r="U160" s="2"/>
      <c r="V160" s="2"/>
      <c r="W160" s="2"/>
      <c r="X160" s="2"/>
      <c r="Y160" s="2"/>
      <c r="Z160" s="2"/>
    </row>
    <row r="161" ht="15.75" customHeight="1">
      <c r="A161" s="1"/>
      <c r="B161" s="1"/>
      <c r="C161" s="1"/>
      <c r="D161" s="1"/>
      <c r="E161" s="1"/>
      <c r="F161" s="1"/>
      <c r="G161" s="2"/>
      <c r="H161" s="2"/>
      <c r="I161" s="2"/>
      <c r="J161" s="2"/>
      <c r="K161" s="2"/>
      <c r="L161" s="2"/>
      <c r="M161" s="2"/>
      <c r="N161" s="2"/>
      <c r="O161" s="2"/>
      <c r="P161" s="2"/>
      <c r="Q161" s="2"/>
      <c r="R161" s="2"/>
      <c r="S161" s="2"/>
      <c r="T161" s="2"/>
      <c r="U161" s="2"/>
      <c r="V161" s="2"/>
      <c r="W161" s="2"/>
      <c r="X161" s="2"/>
      <c r="Y161" s="2"/>
      <c r="Z161" s="2"/>
    </row>
    <row r="162" ht="15.75" customHeight="1">
      <c r="A162" s="1"/>
      <c r="B162" s="1"/>
      <c r="C162" s="1"/>
      <c r="D162" s="1"/>
      <c r="E162" s="1"/>
      <c r="F162" s="1"/>
      <c r="G162" s="2"/>
      <c r="H162" s="2"/>
      <c r="I162" s="2"/>
      <c r="J162" s="2"/>
      <c r="K162" s="2"/>
      <c r="L162" s="2"/>
      <c r="M162" s="2"/>
      <c r="N162" s="2"/>
      <c r="O162" s="2"/>
      <c r="P162" s="2"/>
      <c r="Q162" s="2"/>
      <c r="R162" s="2"/>
      <c r="S162" s="2"/>
      <c r="T162" s="2"/>
      <c r="U162" s="2"/>
      <c r="V162" s="2"/>
      <c r="W162" s="2"/>
      <c r="X162" s="2"/>
      <c r="Y162" s="2"/>
      <c r="Z162" s="2"/>
    </row>
    <row r="163" ht="15.75" customHeight="1">
      <c r="A163" s="1"/>
      <c r="B163" s="1"/>
      <c r="C163" s="1"/>
      <c r="D163" s="1"/>
      <c r="E163" s="1"/>
      <c r="F163" s="1"/>
      <c r="G163" s="2"/>
      <c r="H163" s="2"/>
      <c r="I163" s="2"/>
      <c r="J163" s="2"/>
      <c r="K163" s="2"/>
      <c r="L163" s="2"/>
      <c r="M163" s="2"/>
      <c r="N163" s="2"/>
      <c r="O163" s="2"/>
      <c r="P163" s="2"/>
      <c r="Q163" s="2"/>
      <c r="R163" s="2"/>
      <c r="S163" s="2"/>
      <c r="T163" s="2"/>
      <c r="U163" s="2"/>
      <c r="V163" s="2"/>
      <c r="W163" s="2"/>
      <c r="X163" s="2"/>
      <c r="Y163" s="2"/>
      <c r="Z163" s="2"/>
    </row>
    <row r="164" ht="15.75" customHeight="1">
      <c r="A164" s="1"/>
      <c r="B164" s="1"/>
      <c r="C164" s="1"/>
      <c r="D164" s="1"/>
      <c r="E164" s="1"/>
      <c r="F164" s="1"/>
      <c r="G164" s="2"/>
      <c r="H164" s="2"/>
      <c r="I164" s="2"/>
      <c r="J164" s="2"/>
      <c r="K164" s="2"/>
      <c r="L164" s="2"/>
      <c r="M164" s="2"/>
      <c r="N164" s="2"/>
      <c r="O164" s="2"/>
      <c r="P164" s="2"/>
      <c r="Q164" s="2"/>
      <c r="R164" s="2"/>
      <c r="S164" s="2"/>
      <c r="T164" s="2"/>
      <c r="U164" s="2"/>
      <c r="V164" s="2"/>
      <c r="W164" s="2"/>
      <c r="X164" s="2"/>
      <c r="Y164" s="2"/>
      <c r="Z164" s="2"/>
    </row>
    <row r="165" ht="15.75" customHeight="1">
      <c r="A165" s="1"/>
      <c r="B165" s="1"/>
      <c r="C165" s="1"/>
      <c r="D165" s="1"/>
      <c r="E165" s="1"/>
      <c r="F165" s="1"/>
      <c r="G165" s="2"/>
      <c r="H165" s="2"/>
      <c r="I165" s="2"/>
      <c r="J165" s="2"/>
      <c r="K165" s="2"/>
      <c r="L165" s="2"/>
      <c r="M165" s="2"/>
      <c r="N165" s="2"/>
      <c r="O165" s="2"/>
      <c r="P165" s="2"/>
      <c r="Q165" s="2"/>
      <c r="R165" s="2"/>
      <c r="S165" s="2"/>
      <c r="T165" s="2"/>
      <c r="U165" s="2"/>
      <c r="V165" s="2"/>
      <c r="W165" s="2"/>
      <c r="X165" s="2"/>
      <c r="Y165" s="2"/>
      <c r="Z165" s="2"/>
    </row>
    <row r="166" ht="15.75" customHeight="1">
      <c r="A166" s="1"/>
      <c r="B166" s="1"/>
      <c r="C166" s="1"/>
      <c r="D166" s="1"/>
      <c r="E166" s="1"/>
      <c r="F166" s="1"/>
      <c r="G166" s="2"/>
      <c r="H166" s="2"/>
      <c r="I166" s="2"/>
      <c r="J166" s="2"/>
      <c r="K166" s="2"/>
      <c r="L166" s="2"/>
      <c r="M166" s="2"/>
      <c r="N166" s="2"/>
      <c r="O166" s="2"/>
      <c r="P166" s="2"/>
      <c r="Q166" s="2"/>
      <c r="R166" s="2"/>
      <c r="S166" s="2"/>
      <c r="T166" s="2"/>
      <c r="U166" s="2"/>
      <c r="V166" s="2"/>
      <c r="W166" s="2"/>
      <c r="X166" s="2"/>
      <c r="Y166" s="2"/>
      <c r="Z166" s="2"/>
    </row>
    <row r="167" ht="15.75" customHeight="1">
      <c r="A167" s="1"/>
      <c r="B167" s="1"/>
      <c r="C167" s="1"/>
      <c r="D167" s="1"/>
      <c r="E167" s="1"/>
      <c r="F167" s="1"/>
      <c r="G167" s="2"/>
      <c r="H167" s="2"/>
      <c r="I167" s="2"/>
      <c r="J167" s="2"/>
      <c r="K167" s="2"/>
      <c r="L167" s="2"/>
      <c r="M167" s="2"/>
      <c r="N167" s="2"/>
      <c r="O167" s="2"/>
      <c r="P167" s="2"/>
      <c r="Q167" s="2"/>
      <c r="R167" s="2"/>
      <c r="S167" s="2"/>
      <c r="T167" s="2"/>
      <c r="U167" s="2"/>
      <c r="V167" s="2"/>
      <c r="W167" s="2"/>
      <c r="X167" s="2"/>
      <c r="Y167" s="2"/>
      <c r="Z167" s="2"/>
    </row>
    <row r="168" ht="15.75" customHeight="1">
      <c r="A168" s="1"/>
      <c r="B168" s="1"/>
      <c r="C168" s="1"/>
      <c r="D168" s="1"/>
      <c r="E168" s="1"/>
      <c r="F168" s="1"/>
      <c r="G168" s="2"/>
      <c r="H168" s="2"/>
      <c r="I168" s="2"/>
      <c r="J168" s="2"/>
      <c r="K168" s="2"/>
      <c r="L168" s="2"/>
      <c r="M168" s="2"/>
      <c r="N168" s="2"/>
      <c r="O168" s="2"/>
      <c r="P168" s="2"/>
      <c r="Q168" s="2"/>
      <c r="R168" s="2"/>
      <c r="S168" s="2"/>
      <c r="T168" s="2"/>
      <c r="U168" s="2"/>
      <c r="V168" s="2"/>
      <c r="W168" s="2"/>
      <c r="X168" s="2"/>
      <c r="Y168" s="2"/>
      <c r="Z168" s="2"/>
    </row>
    <row r="169" ht="15.75" customHeight="1">
      <c r="A169" s="1"/>
      <c r="B169" s="1"/>
      <c r="C169" s="1"/>
      <c r="D169" s="1"/>
      <c r="E169" s="1"/>
      <c r="F169" s="1"/>
      <c r="G169" s="2"/>
      <c r="H169" s="2"/>
      <c r="I169" s="2"/>
      <c r="J169" s="2"/>
      <c r="K169" s="2"/>
      <c r="L169" s="2"/>
      <c r="M169" s="2"/>
      <c r="N169" s="2"/>
      <c r="O169" s="2"/>
      <c r="P169" s="2"/>
      <c r="Q169" s="2"/>
      <c r="R169" s="2"/>
      <c r="S169" s="2"/>
      <c r="T169" s="2"/>
      <c r="U169" s="2"/>
      <c r="V169" s="2"/>
      <c r="W169" s="2"/>
      <c r="X169" s="2"/>
      <c r="Y169" s="2"/>
      <c r="Z169" s="2"/>
    </row>
    <row r="170" ht="15.75" customHeight="1">
      <c r="A170" s="1"/>
      <c r="B170" s="1"/>
      <c r="C170" s="1"/>
      <c r="D170" s="1"/>
      <c r="E170" s="1"/>
      <c r="F170" s="1"/>
      <c r="G170" s="2"/>
      <c r="H170" s="2"/>
      <c r="I170" s="2"/>
      <c r="J170" s="2"/>
      <c r="K170" s="2"/>
      <c r="L170" s="2"/>
      <c r="M170" s="2"/>
      <c r="N170" s="2"/>
      <c r="O170" s="2"/>
      <c r="P170" s="2"/>
      <c r="Q170" s="2"/>
      <c r="R170" s="2"/>
      <c r="S170" s="2"/>
      <c r="T170" s="2"/>
      <c r="U170" s="2"/>
      <c r="V170" s="2"/>
      <c r="W170" s="2"/>
      <c r="X170" s="2"/>
      <c r="Y170" s="2"/>
      <c r="Z170" s="2"/>
    </row>
    <row r="171" ht="15.75" customHeight="1">
      <c r="A171" s="1"/>
      <c r="B171" s="1"/>
      <c r="C171" s="1"/>
      <c r="D171" s="1"/>
      <c r="E171" s="1"/>
      <c r="F171" s="1"/>
      <c r="G171" s="2"/>
      <c r="H171" s="2"/>
      <c r="I171" s="2"/>
      <c r="J171" s="2"/>
      <c r="K171" s="2"/>
      <c r="L171" s="2"/>
      <c r="M171" s="2"/>
      <c r="N171" s="2"/>
      <c r="O171" s="2"/>
      <c r="P171" s="2"/>
      <c r="Q171" s="2"/>
      <c r="R171" s="2"/>
      <c r="S171" s="2"/>
      <c r="T171" s="2"/>
      <c r="U171" s="2"/>
      <c r="V171" s="2"/>
      <c r="W171" s="2"/>
      <c r="X171" s="2"/>
      <c r="Y171" s="2"/>
      <c r="Z171" s="2"/>
    </row>
    <row r="172" ht="15.75" customHeight="1">
      <c r="A172" s="1"/>
      <c r="B172" s="1"/>
      <c r="C172" s="1"/>
      <c r="D172" s="1"/>
      <c r="E172" s="1"/>
      <c r="F172" s="1"/>
      <c r="G172" s="2"/>
      <c r="H172" s="2"/>
      <c r="I172" s="2"/>
      <c r="J172" s="2"/>
      <c r="K172" s="2"/>
      <c r="L172" s="2"/>
      <c r="M172" s="2"/>
      <c r="N172" s="2"/>
      <c r="O172" s="2"/>
      <c r="P172" s="2"/>
      <c r="Q172" s="2"/>
      <c r="R172" s="2"/>
      <c r="S172" s="2"/>
      <c r="T172" s="2"/>
      <c r="U172" s="2"/>
      <c r="V172" s="2"/>
      <c r="W172" s="2"/>
      <c r="X172" s="2"/>
      <c r="Y172" s="2"/>
      <c r="Z172" s="2"/>
    </row>
    <row r="173" ht="15.75" customHeight="1">
      <c r="A173" s="1"/>
      <c r="B173" s="1"/>
      <c r="C173" s="1"/>
      <c r="D173" s="1"/>
      <c r="E173" s="1"/>
      <c r="F173" s="1"/>
      <c r="G173" s="2"/>
      <c r="H173" s="2"/>
      <c r="I173" s="2"/>
      <c r="J173" s="2"/>
      <c r="K173" s="2"/>
      <c r="L173" s="2"/>
      <c r="M173" s="2"/>
      <c r="N173" s="2"/>
      <c r="O173" s="2"/>
      <c r="P173" s="2"/>
      <c r="Q173" s="2"/>
      <c r="R173" s="2"/>
      <c r="S173" s="2"/>
      <c r="T173" s="2"/>
      <c r="U173" s="2"/>
      <c r="V173" s="2"/>
      <c r="W173" s="2"/>
      <c r="X173" s="2"/>
      <c r="Y173" s="2"/>
      <c r="Z173" s="2"/>
    </row>
    <row r="174" ht="15.75" customHeight="1">
      <c r="A174" s="1"/>
      <c r="B174" s="1"/>
      <c r="C174" s="1"/>
      <c r="D174" s="1"/>
      <c r="E174" s="1"/>
      <c r="F174" s="1"/>
      <c r="G174" s="2"/>
      <c r="H174" s="2"/>
      <c r="I174" s="2"/>
      <c r="J174" s="2"/>
      <c r="K174" s="2"/>
      <c r="L174" s="2"/>
      <c r="M174" s="2"/>
      <c r="N174" s="2"/>
      <c r="O174" s="2"/>
      <c r="P174" s="2"/>
      <c r="Q174" s="2"/>
      <c r="R174" s="2"/>
      <c r="S174" s="2"/>
      <c r="T174" s="2"/>
      <c r="U174" s="2"/>
      <c r="V174" s="2"/>
      <c r="W174" s="2"/>
      <c r="X174" s="2"/>
      <c r="Y174" s="2"/>
      <c r="Z174" s="2"/>
    </row>
    <row r="175" ht="15.75" customHeight="1">
      <c r="A175" s="1"/>
      <c r="B175" s="1"/>
      <c r="C175" s="1"/>
      <c r="D175" s="1"/>
      <c r="E175" s="1"/>
      <c r="F175" s="1"/>
      <c r="G175" s="2"/>
      <c r="H175" s="2"/>
      <c r="I175" s="2"/>
      <c r="J175" s="2"/>
      <c r="K175" s="2"/>
      <c r="L175" s="2"/>
      <c r="M175" s="2"/>
      <c r="N175" s="2"/>
      <c r="O175" s="2"/>
      <c r="P175" s="2"/>
      <c r="Q175" s="2"/>
      <c r="R175" s="2"/>
      <c r="S175" s="2"/>
      <c r="T175" s="2"/>
      <c r="U175" s="2"/>
      <c r="V175" s="2"/>
      <c r="W175" s="2"/>
      <c r="X175" s="2"/>
      <c r="Y175" s="2"/>
      <c r="Z175" s="2"/>
    </row>
    <row r="176" ht="15.75" customHeight="1">
      <c r="A176" s="1"/>
      <c r="B176" s="1"/>
      <c r="C176" s="1"/>
      <c r="D176" s="1"/>
      <c r="E176" s="1"/>
      <c r="F176" s="1"/>
      <c r="G176" s="2"/>
      <c r="H176" s="2"/>
      <c r="I176" s="2"/>
      <c r="J176" s="2"/>
      <c r="K176" s="2"/>
      <c r="L176" s="2"/>
      <c r="M176" s="2"/>
      <c r="N176" s="2"/>
      <c r="O176" s="2"/>
      <c r="P176" s="2"/>
      <c r="Q176" s="2"/>
      <c r="R176" s="2"/>
      <c r="S176" s="2"/>
      <c r="T176" s="2"/>
      <c r="U176" s="2"/>
      <c r="V176" s="2"/>
      <c r="W176" s="2"/>
      <c r="X176" s="2"/>
      <c r="Y176" s="2"/>
      <c r="Z176" s="2"/>
    </row>
    <row r="177" ht="15.75" customHeight="1">
      <c r="A177" s="1"/>
      <c r="B177" s="1"/>
      <c r="C177" s="1"/>
      <c r="D177" s="1"/>
      <c r="E177" s="1"/>
      <c r="F177" s="1"/>
      <c r="G177" s="2"/>
      <c r="H177" s="2"/>
      <c r="I177" s="2"/>
      <c r="J177" s="2"/>
      <c r="K177" s="2"/>
      <c r="L177" s="2"/>
      <c r="M177" s="2"/>
      <c r="N177" s="2"/>
      <c r="O177" s="2"/>
      <c r="P177" s="2"/>
      <c r="Q177" s="2"/>
      <c r="R177" s="2"/>
      <c r="S177" s="2"/>
      <c r="T177" s="2"/>
      <c r="U177" s="2"/>
      <c r="V177" s="2"/>
      <c r="W177" s="2"/>
      <c r="X177" s="2"/>
      <c r="Y177" s="2"/>
      <c r="Z177" s="2"/>
    </row>
    <row r="178" ht="15.75" customHeight="1">
      <c r="A178" s="1"/>
      <c r="B178" s="1"/>
      <c r="C178" s="1"/>
      <c r="D178" s="1"/>
      <c r="E178" s="1"/>
      <c r="F178" s="1"/>
      <c r="G178" s="2"/>
      <c r="H178" s="2"/>
      <c r="I178" s="2"/>
      <c r="J178" s="2"/>
      <c r="K178" s="2"/>
      <c r="L178" s="2"/>
      <c r="M178" s="2"/>
      <c r="N178" s="2"/>
      <c r="O178" s="2"/>
      <c r="P178" s="2"/>
      <c r="Q178" s="2"/>
      <c r="R178" s="2"/>
      <c r="S178" s="2"/>
      <c r="T178" s="2"/>
      <c r="U178" s="2"/>
      <c r="V178" s="2"/>
      <c r="W178" s="2"/>
      <c r="X178" s="2"/>
      <c r="Y178" s="2"/>
      <c r="Z178" s="2"/>
    </row>
    <row r="179" ht="15.75" customHeight="1">
      <c r="A179" s="1"/>
      <c r="B179" s="1"/>
      <c r="C179" s="1"/>
      <c r="D179" s="1"/>
      <c r="E179" s="1"/>
      <c r="F179" s="1"/>
      <c r="G179" s="2"/>
      <c r="H179" s="2"/>
      <c r="I179" s="2"/>
      <c r="J179" s="2"/>
      <c r="K179" s="2"/>
      <c r="L179" s="2"/>
      <c r="M179" s="2"/>
      <c r="N179" s="2"/>
      <c r="O179" s="2"/>
      <c r="P179" s="2"/>
      <c r="Q179" s="2"/>
      <c r="R179" s="2"/>
      <c r="S179" s="2"/>
      <c r="T179" s="2"/>
      <c r="U179" s="2"/>
      <c r="V179" s="2"/>
      <c r="W179" s="2"/>
      <c r="X179" s="2"/>
      <c r="Y179" s="2"/>
      <c r="Z179" s="2"/>
    </row>
    <row r="180" ht="15.75" customHeight="1">
      <c r="A180" s="1"/>
      <c r="B180" s="1"/>
      <c r="C180" s="1"/>
      <c r="D180" s="1"/>
      <c r="E180" s="1"/>
      <c r="F180" s="1"/>
      <c r="G180" s="2"/>
      <c r="H180" s="2"/>
      <c r="I180" s="2"/>
      <c r="J180" s="2"/>
      <c r="K180" s="2"/>
      <c r="L180" s="2"/>
      <c r="M180" s="2"/>
      <c r="N180" s="2"/>
      <c r="O180" s="2"/>
      <c r="P180" s="2"/>
      <c r="Q180" s="2"/>
      <c r="R180" s="2"/>
      <c r="S180" s="2"/>
      <c r="T180" s="2"/>
      <c r="U180" s="2"/>
      <c r="V180" s="2"/>
      <c r="W180" s="2"/>
      <c r="X180" s="2"/>
      <c r="Y180" s="2"/>
      <c r="Z180" s="2"/>
    </row>
    <row r="181" ht="15.75" customHeight="1">
      <c r="A181" s="1"/>
      <c r="B181" s="1"/>
      <c r="C181" s="1"/>
      <c r="D181" s="1"/>
      <c r="E181" s="1"/>
      <c r="F181" s="1"/>
      <c r="G181" s="2"/>
      <c r="H181" s="2"/>
      <c r="I181" s="2"/>
      <c r="J181" s="2"/>
      <c r="K181" s="2"/>
      <c r="L181" s="2"/>
      <c r="M181" s="2"/>
      <c r="N181" s="2"/>
      <c r="O181" s="2"/>
      <c r="P181" s="2"/>
      <c r="Q181" s="2"/>
      <c r="R181" s="2"/>
      <c r="S181" s="2"/>
      <c r="T181" s="2"/>
      <c r="U181" s="2"/>
      <c r="V181" s="2"/>
      <c r="W181" s="2"/>
      <c r="X181" s="2"/>
      <c r="Y181" s="2"/>
      <c r="Z181" s="2"/>
    </row>
    <row r="182" ht="15.75" customHeight="1">
      <c r="A182" s="1"/>
      <c r="B182" s="1"/>
      <c r="C182" s="1"/>
      <c r="D182" s="1"/>
      <c r="E182" s="1"/>
      <c r="F182" s="1"/>
      <c r="G182" s="2"/>
      <c r="H182" s="2"/>
      <c r="I182" s="2"/>
      <c r="J182" s="2"/>
      <c r="K182" s="2"/>
      <c r="L182" s="2"/>
      <c r="M182" s="2"/>
      <c r="N182" s="2"/>
      <c r="O182" s="2"/>
      <c r="P182" s="2"/>
      <c r="Q182" s="2"/>
      <c r="R182" s="2"/>
      <c r="S182" s="2"/>
      <c r="T182" s="2"/>
      <c r="U182" s="2"/>
      <c r="V182" s="2"/>
      <c r="W182" s="2"/>
      <c r="X182" s="2"/>
      <c r="Y182" s="2"/>
      <c r="Z182" s="2"/>
    </row>
    <row r="183" ht="15.75" customHeight="1">
      <c r="A183" s="1"/>
      <c r="B183" s="1"/>
      <c r="C183" s="1"/>
      <c r="D183" s="1"/>
      <c r="E183" s="1"/>
      <c r="F183" s="1"/>
      <c r="G183" s="2"/>
      <c r="H183" s="2"/>
      <c r="I183" s="2"/>
      <c r="J183" s="2"/>
      <c r="K183" s="2"/>
      <c r="L183" s="2"/>
      <c r="M183" s="2"/>
      <c r="N183" s="2"/>
      <c r="O183" s="2"/>
      <c r="P183" s="2"/>
      <c r="Q183" s="2"/>
      <c r="R183" s="2"/>
      <c r="S183" s="2"/>
      <c r="T183" s="2"/>
      <c r="U183" s="2"/>
      <c r="V183" s="2"/>
      <c r="W183" s="2"/>
      <c r="X183" s="2"/>
      <c r="Y183" s="2"/>
      <c r="Z183" s="2"/>
    </row>
    <row r="184" ht="15.75" customHeight="1">
      <c r="A184" s="1"/>
      <c r="B184" s="1"/>
      <c r="C184" s="1"/>
      <c r="D184" s="1"/>
      <c r="E184" s="1"/>
      <c r="F184" s="1"/>
      <c r="G184" s="2"/>
      <c r="H184" s="2"/>
      <c r="I184" s="2"/>
      <c r="J184" s="2"/>
      <c r="K184" s="2"/>
      <c r="L184" s="2"/>
      <c r="M184" s="2"/>
      <c r="N184" s="2"/>
      <c r="O184" s="2"/>
      <c r="P184" s="2"/>
      <c r="Q184" s="2"/>
      <c r="R184" s="2"/>
      <c r="S184" s="2"/>
      <c r="T184" s="2"/>
      <c r="U184" s="2"/>
      <c r="V184" s="2"/>
      <c r="W184" s="2"/>
      <c r="X184" s="2"/>
      <c r="Y184" s="2"/>
      <c r="Z184" s="2"/>
    </row>
    <row r="185" ht="15.75" customHeight="1">
      <c r="A185" s="1"/>
      <c r="B185" s="1"/>
      <c r="C185" s="1"/>
      <c r="D185" s="1"/>
      <c r="E185" s="1"/>
      <c r="F185" s="1"/>
      <c r="G185" s="2"/>
      <c r="H185" s="2"/>
      <c r="I185" s="2"/>
      <c r="J185" s="2"/>
      <c r="K185" s="2"/>
      <c r="L185" s="2"/>
      <c r="M185" s="2"/>
      <c r="N185" s="2"/>
      <c r="O185" s="2"/>
      <c r="P185" s="2"/>
      <c r="Q185" s="2"/>
      <c r="R185" s="2"/>
      <c r="S185" s="2"/>
      <c r="T185" s="2"/>
      <c r="U185" s="2"/>
      <c r="V185" s="2"/>
      <c r="W185" s="2"/>
      <c r="X185" s="2"/>
      <c r="Y185" s="2"/>
      <c r="Z185" s="2"/>
    </row>
    <row r="186" ht="15.75" customHeight="1">
      <c r="A186" s="1"/>
      <c r="B186" s="1"/>
      <c r="C186" s="1"/>
      <c r="D186" s="1"/>
      <c r="E186" s="1"/>
      <c r="F186" s="1"/>
      <c r="G186" s="2"/>
      <c r="H186" s="2"/>
      <c r="I186" s="2"/>
      <c r="J186" s="2"/>
      <c r="K186" s="2"/>
      <c r="L186" s="2"/>
      <c r="M186" s="2"/>
      <c r="N186" s="2"/>
      <c r="O186" s="2"/>
      <c r="P186" s="2"/>
      <c r="Q186" s="2"/>
      <c r="R186" s="2"/>
      <c r="S186" s="2"/>
      <c r="T186" s="2"/>
      <c r="U186" s="2"/>
      <c r="V186" s="2"/>
      <c r="W186" s="2"/>
      <c r="X186" s="2"/>
      <c r="Y186" s="2"/>
      <c r="Z186" s="2"/>
    </row>
    <row r="187" ht="15.75" customHeight="1">
      <c r="A187" s="1"/>
      <c r="B187" s="1"/>
      <c r="C187" s="1"/>
      <c r="D187" s="1"/>
      <c r="E187" s="1"/>
      <c r="F187" s="1"/>
      <c r="G187" s="2"/>
      <c r="H187" s="2"/>
      <c r="I187" s="2"/>
      <c r="J187" s="2"/>
      <c r="K187" s="2"/>
      <c r="L187" s="2"/>
      <c r="M187" s="2"/>
      <c r="N187" s="2"/>
      <c r="O187" s="2"/>
      <c r="P187" s="2"/>
      <c r="Q187" s="2"/>
      <c r="R187" s="2"/>
      <c r="S187" s="2"/>
      <c r="T187" s="2"/>
      <c r="U187" s="2"/>
      <c r="V187" s="2"/>
      <c r="W187" s="2"/>
      <c r="X187" s="2"/>
      <c r="Y187" s="2"/>
      <c r="Z187" s="2"/>
    </row>
    <row r="188" ht="15.75" customHeight="1">
      <c r="A188" s="1"/>
      <c r="B188" s="1"/>
      <c r="C188" s="1"/>
      <c r="D188" s="1"/>
      <c r="E188" s="1"/>
      <c r="F188" s="1"/>
      <c r="G188" s="2"/>
      <c r="H188" s="2"/>
      <c r="I188" s="2"/>
      <c r="J188" s="2"/>
      <c r="K188" s="2"/>
      <c r="L188" s="2"/>
      <c r="M188" s="2"/>
      <c r="N188" s="2"/>
      <c r="O188" s="2"/>
      <c r="P188" s="2"/>
      <c r="Q188" s="2"/>
      <c r="R188" s="2"/>
      <c r="S188" s="2"/>
      <c r="T188" s="2"/>
      <c r="U188" s="2"/>
      <c r="V188" s="2"/>
      <c r="W188" s="2"/>
      <c r="X188" s="2"/>
      <c r="Y188" s="2"/>
      <c r="Z188" s="2"/>
    </row>
    <row r="189" ht="15.75" customHeight="1">
      <c r="A189" s="1"/>
      <c r="B189" s="1"/>
      <c r="C189" s="1"/>
      <c r="D189" s="1"/>
      <c r="E189" s="1"/>
      <c r="F189" s="1"/>
      <c r="G189" s="2"/>
      <c r="H189" s="2"/>
      <c r="I189" s="2"/>
      <c r="J189" s="2"/>
      <c r="K189" s="2"/>
      <c r="L189" s="2"/>
      <c r="M189" s="2"/>
      <c r="N189" s="2"/>
      <c r="O189" s="2"/>
      <c r="P189" s="2"/>
      <c r="Q189" s="2"/>
      <c r="R189" s="2"/>
      <c r="S189" s="2"/>
      <c r="T189" s="2"/>
      <c r="U189" s="2"/>
      <c r="V189" s="2"/>
      <c r="W189" s="2"/>
      <c r="X189" s="2"/>
      <c r="Y189" s="2"/>
      <c r="Z189" s="2"/>
    </row>
    <row r="190" ht="15.75" customHeight="1">
      <c r="A190" s="1"/>
      <c r="B190" s="1"/>
      <c r="C190" s="1"/>
      <c r="D190" s="1"/>
      <c r="E190" s="1"/>
      <c r="F190" s="1"/>
      <c r="G190" s="2"/>
      <c r="H190" s="2"/>
      <c r="I190" s="2"/>
      <c r="J190" s="2"/>
      <c r="K190" s="2"/>
      <c r="L190" s="2"/>
      <c r="M190" s="2"/>
      <c r="N190" s="2"/>
      <c r="O190" s="2"/>
      <c r="P190" s="2"/>
      <c r="Q190" s="2"/>
      <c r="R190" s="2"/>
      <c r="S190" s="2"/>
      <c r="T190" s="2"/>
      <c r="U190" s="2"/>
      <c r="V190" s="2"/>
      <c r="W190" s="2"/>
      <c r="X190" s="2"/>
      <c r="Y190" s="2"/>
      <c r="Z190" s="2"/>
    </row>
    <row r="191" ht="15.75" customHeight="1">
      <c r="A191" s="1"/>
      <c r="B191" s="1"/>
      <c r="C191" s="1"/>
      <c r="D191" s="1"/>
      <c r="E191" s="1"/>
      <c r="F191" s="1"/>
      <c r="G191" s="2"/>
      <c r="H191" s="2"/>
      <c r="I191" s="2"/>
      <c r="J191" s="2"/>
      <c r="K191" s="2"/>
      <c r="L191" s="2"/>
      <c r="M191" s="2"/>
      <c r="N191" s="2"/>
      <c r="O191" s="2"/>
      <c r="P191" s="2"/>
      <c r="Q191" s="2"/>
      <c r="R191" s="2"/>
      <c r="S191" s="2"/>
      <c r="T191" s="2"/>
      <c r="U191" s="2"/>
      <c r="V191" s="2"/>
      <c r="W191" s="2"/>
      <c r="X191" s="2"/>
      <c r="Y191" s="2"/>
      <c r="Z191" s="2"/>
    </row>
    <row r="192" ht="15.75" customHeight="1">
      <c r="A192" s="1"/>
      <c r="B192" s="1"/>
      <c r="C192" s="1"/>
      <c r="D192" s="1"/>
      <c r="E192" s="1"/>
      <c r="F192" s="1"/>
      <c r="G192" s="2"/>
      <c r="H192" s="2"/>
      <c r="I192" s="2"/>
      <c r="J192" s="2"/>
      <c r="K192" s="2"/>
      <c r="L192" s="2"/>
      <c r="M192" s="2"/>
      <c r="N192" s="2"/>
      <c r="O192" s="2"/>
      <c r="P192" s="2"/>
      <c r="Q192" s="2"/>
      <c r="R192" s="2"/>
      <c r="S192" s="2"/>
      <c r="T192" s="2"/>
      <c r="U192" s="2"/>
      <c r="V192" s="2"/>
      <c r="W192" s="2"/>
      <c r="X192" s="2"/>
      <c r="Y192" s="2"/>
      <c r="Z192" s="2"/>
    </row>
    <row r="193" ht="15.75" customHeight="1">
      <c r="A193" s="1"/>
      <c r="B193" s="1"/>
      <c r="C193" s="1"/>
      <c r="D193" s="1"/>
      <c r="E193" s="1"/>
      <c r="F193" s="1"/>
      <c r="G193" s="2"/>
      <c r="H193" s="2"/>
      <c r="I193" s="2"/>
      <c r="J193" s="2"/>
      <c r="K193" s="2"/>
      <c r="L193" s="2"/>
      <c r="M193" s="2"/>
      <c r="N193" s="2"/>
      <c r="O193" s="2"/>
      <c r="P193" s="2"/>
      <c r="Q193" s="2"/>
      <c r="R193" s="2"/>
      <c r="S193" s="2"/>
      <c r="T193" s="2"/>
      <c r="U193" s="2"/>
      <c r="V193" s="2"/>
      <c r="W193" s="2"/>
      <c r="X193" s="2"/>
      <c r="Y193" s="2"/>
      <c r="Z193" s="2"/>
    </row>
    <row r="194" ht="15.75" customHeight="1">
      <c r="A194" s="1"/>
      <c r="B194" s="1"/>
      <c r="C194" s="1"/>
      <c r="D194" s="1"/>
      <c r="E194" s="1"/>
      <c r="F194" s="1"/>
      <c r="G194" s="2"/>
      <c r="H194" s="2"/>
      <c r="I194" s="2"/>
      <c r="J194" s="2"/>
      <c r="K194" s="2"/>
      <c r="L194" s="2"/>
      <c r="M194" s="2"/>
      <c r="N194" s="2"/>
      <c r="O194" s="2"/>
      <c r="P194" s="2"/>
      <c r="Q194" s="2"/>
      <c r="R194" s="2"/>
      <c r="S194" s="2"/>
      <c r="T194" s="2"/>
      <c r="U194" s="2"/>
      <c r="V194" s="2"/>
      <c r="W194" s="2"/>
      <c r="X194" s="2"/>
      <c r="Y194" s="2"/>
      <c r="Z194" s="2"/>
    </row>
    <row r="195" ht="15.75" customHeight="1">
      <c r="A195" s="1"/>
      <c r="B195" s="1"/>
      <c r="C195" s="1"/>
      <c r="D195" s="1"/>
      <c r="E195" s="1"/>
      <c r="F195" s="1"/>
      <c r="G195" s="2"/>
      <c r="H195" s="2"/>
      <c r="I195" s="2"/>
      <c r="J195" s="2"/>
      <c r="K195" s="2"/>
      <c r="L195" s="2"/>
      <c r="M195" s="2"/>
      <c r="N195" s="2"/>
      <c r="O195" s="2"/>
      <c r="P195" s="2"/>
      <c r="Q195" s="2"/>
      <c r="R195" s="2"/>
      <c r="S195" s="2"/>
      <c r="T195" s="2"/>
      <c r="U195" s="2"/>
      <c r="V195" s="2"/>
      <c r="W195" s="2"/>
      <c r="X195" s="2"/>
      <c r="Y195" s="2"/>
      <c r="Z195" s="2"/>
    </row>
    <row r="196" ht="15.75" customHeight="1">
      <c r="A196" s="1"/>
      <c r="B196" s="1"/>
      <c r="C196" s="1"/>
      <c r="D196" s="1"/>
      <c r="E196" s="1"/>
      <c r="F196" s="1"/>
      <c r="G196" s="2"/>
      <c r="H196" s="2"/>
      <c r="I196" s="2"/>
      <c r="J196" s="2"/>
      <c r="K196" s="2"/>
      <c r="L196" s="2"/>
      <c r="M196" s="2"/>
      <c r="N196" s="2"/>
      <c r="O196" s="2"/>
      <c r="P196" s="2"/>
      <c r="Q196" s="2"/>
      <c r="R196" s="2"/>
      <c r="S196" s="2"/>
      <c r="T196" s="2"/>
      <c r="U196" s="2"/>
      <c r="V196" s="2"/>
      <c r="W196" s="2"/>
      <c r="X196" s="2"/>
      <c r="Y196" s="2"/>
      <c r="Z196" s="2"/>
    </row>
    <row r="197" ht="15.75" customHeight="1">
      <c r="A197" s="1"/>
      <c r="B197" s="1"/>
      <c r="C197" s="1"/>
      <c r="D197" s="1"/>
      <c r="E197" s="1"/>
      <c r="F197" s="1"/>
      <c r="G197" s="2"/>
      <c r="H197" s="2"/>
      <c r="I197" s="2"/>
      <c r="J197" s="2"/>
      <c r="K197" s="2"/>
      <c r="L197" s="2"/>
      <c r="M197" s="2"/>
      <c r="N197" s="2"/>
      <c r="O197" s="2"/>
      <c r="P197" s="2"/>
      <c r="Q197" s="2"/>
      <c r="R197" s="2"/>
      <c r="S197" s="2"/>
      <c r="T197" s="2"/>
      <c r="U197" s="2"/>
      <c r="V197" s="2"/>
      <c r="W197" s="2"/>
      <c r="X197" s="2"/>
      <c r="Y197" s="2"/>
      <c r="Z197" s="2"/>
    </row>
    <row r="198" ht="15.75" customHeight="1">
      <c r="A198" s="1"/>
      <c r="B198" s="1"/>
      <c r="C198" s="1"/>
      <c r="D198" s="1"/>
      <c r="E198" s="1"/>
      <c r="F198" s="1"/>
      <c r="G198" s="2"/>
      <c r="H198" s="2"/>
      <c r="I198" s="2"/>
      <c r="J198" s="2"/>
      <c r="K198" s="2"/>
      <c r="L198" s="2"/>
      <c r="M198" s="2"/>
      <c r="N198" s="2"/>
      <c r="O198" s="2"/>
      <c r="P198" s="2"/>
      <c r="Q198" s="2"/>
      <c r="R198" s="2"/>
      <c r="S198" s="2"/>
      <c r="T198" s="2"/>
      <c r="U198" s="2"/>
      <c r="V198" s="2"/>
      <c r="W198" s="2"/>
      <c r="X198" s="2"/>
      <c r="Y198" s="2"/>
      <c r="Z198" s="2"/>
    </row>
    <row r="199" ht="15.75" customHeight="1">
      <c r="A199" s="1"/>
      <c r="B199" s="1"/>
      <c r="C199" s="1"/>
      <c r="D199" s="1"/>
      <c r="E199" s="1"/>
      <c r="F199" s="1"/>
      <c r="G199" s="2"/>
      <c r="H199" s="2"/>
      <c r="I199" s="2"/>
      <c r="J199" s="2"/>
      <c r="K199" s="2"/>
      <c r="L199" s="2"/>
      <c r="M199" s="2"/>
      <c r="N199" s="2"/>
      <c r="O199" s="2"/>
      <c r="P199" s="2"/>
      <c r="Q199" s="2"/>
      <c r="R199" s="2"/>
      <c r="S199" s="2"/>
      <c r="T199" s="2"/>
      <c r="U199" s="2"/>
      <c r="V199" s="2"/>
      <c r="W199" s="2"/>
      <c r="X199" s="2"/>
      <c r="Y199" s="2"/>
      <c r="Z199" s="2"/>
    </row>
    <row r="200" ht="15.75" customHeight="1">
      <c r="A200" s="1"/>
      <c r="B200" s="1"/>
      <c r="C200" s="1"/>
      <c r="D200" s="1"/>
      <c r="E200" s="1"/>
      <c r="F200" s="1"/>
      <c r="G200" s="2"/>
      <c r="H200" s="2"/>
      <c r="I200" s="2"/>
      <c r="J200" s="2"/>
      <c r="K200" s="2"/>
      <c r="L200" s="2"/>
      <c r="M200" s="2"/>
      <c r="N200" s="2"/>
      <c r="O200" s="2"/>
      <c r="P200" s="2"/>
      <c r="Q200" s="2"/>
      <c r="R200" s="2"/>
      <c r="S200" s="2"/>
      <c r="T200" s="2"/>
      <c r="U200" s="2"/>
      <c r="V200" s="2"/>
      <c r="W200" s="2"/>
      <c r="X200" s="2"/>
      <c r="Y200" s="2"/>
      <c r="Z200" s="2"/>
    </row>
    <row r="201" ht="15.75" customHeight="1">
      <c r="A201" s="1"/>
      <c r="B201" s="1"/>
      <c r="C201" s="1"/>
      <c r="D201" s="1"/>
      <c r="E201" s="1"/>
      <c r="F201" s="1"/>
      <c r="G201" s="2"/>
      <c r="H201" s="2"/>
      <c r="I201" s="2"/>
      <c r="J201" s="2"/>
      <c r="K201" s="2"/>
      <c r="L201" s="2"/>
      <c r="M201" s="2"/>
      <c r="N201" s="2"/>
      <c r="O201" s="2"/>
      <c r="P201" s="2"/>
      <c r="Q201" s="2"/>
      <c r="R201" s="2"/>
      <c r="S201" s="2"/>
      <c r="T201" s="2"/>
      <c r="U201" s="2"/>
      <c r="V201" s="2"/>
      <c r="W201" s="2"/>
      <c r="X201" s="2"/>
      <c r="Y201" s="2"/>
      <c r="Z201" s="2"/>
    </row>
    <row r="202" ht="15.75" customHeight="1">
      <c r="A202" s="1"/>
      <c r="B202" s="1"/>
      <c r="C202" s="1"/>
      <c r="D202" s="1"/>
      <c r="E202" s="1"/>
      <c r="F202" s="1"/>
      <c r="G202" s="2"/>
      <c r="H202" s="2"/>
      <c r="I202" s="2"/>
      <c r="J202" s="2"/>
      <c r="K202" s="2"/>
      <c r="L202" s="2"/>
      <c r="M202" s="2"/>
      <c r="N202" s="2"/>
      <c r="O202" s="2"/>
      <c r="P202" s="2"/>
      <c r="Q202" s="2"/>
      <c r="R202" s="2"/>
      <c r="S202" s="2"/>
      <c r="T202" s="2"/>
      <c r="U202" s="2"/>
      <c r="V202" s="2"/>
      <c r="W202" s="2"/>
      <c r="X202" s="2"/>
      <c r="Y202" s="2"/>
      <c r="Z202" s="2"/>
    </row>
    <row r="203" ht="15.75" customHeight="1">
      <c r="A203" s="1"/>
      <c r="B203" s="1"/>
      <c r="C203" s="1"/>
      <c r="D203" s="1"/>
      <c r="E203" s="1"/>
      <c r="F203" s="1"/>
      <c r="G203" s="2"/>
      <c r="H203" s="2"/>
      <c r="I203" s="2"/>
      <c r="J203" s="2"/>
      <c r="K203" s="2"/>
      <c r="L203" s="2"/>
      <c r="M203" s="2"/>
      <c r="N203" s="2"/>
      <c r="O203" s="2"/>
      <c r="P203" s="2"/>
      <c r="Q203" s="2"/>
      <c r="R203" s="2"/>
      <c r="S203" s="2"/>
      <c r="T203" s="2"/>
      <c r="U203" s="2"/>
      <c r="V203" s="2"/>
      <c r="W203" s="2"/>
      <c r="X203" s="2"/>
      <c r="Y203" s="2"/>
      <c r="Z203" s="2"/>
    </row>
    <row r="204" ht="15.75" customHeight="1">
      <c r="A204" s="1"/>
      <c r="B204" s="1"/>
      <c r="C204" s="1"/>
      <c r="D204" s="1"/>
      <c r="E204" s="1"/>
      <c r="F204" s="1"/>
      <c r="G204" s="2"/>
      <c r="H204" s="2"/>
      <c r="I204" s="2"/>
      <c r="J204" s="2"/>
      <c r="K204" s="2"/>
      <c r="L204" s="2"/>
      <c r="M204" s="2"/>
      <c r="N204" s="2"/>
      <c r="O204" s="2"/>
      <c r="P204" s="2"/>
      <c r="Q204" s="2"/>
      <c r="R204" s="2"/>
      <c r="S204" s="2"/>
      <c r="T204" s="2"/>
      <c r="U204" s="2"/>
      <c r="V204" s="2"/>
      <c r="W204" s="2"/>
      <c r="X204" s="2"/>
      <c r="Y204" s="2"/>
      <c r="Z204" s="2"/>
    </row>
    <row r="205" ht="15.75" customHeight="1">
      <c r="A205" s="1"/>
      <c r="B205" s="1"/>
      <c r="C205" s="1"/>
      <c r="D205" s="1"/>
      <c r="E205" s="1"/>
      <c r="F205" s="1"/>
      <c r="G205" s="2"/>
      <c r="H205" s="2"/>
      <c r="I205" s="2"/>
      <c r="J205" s="2"/>
      <c r="K205" s="2"/>
      <c r="L205" s="2"/>
      <c r="M205" s="2"/>
      <c r="N205" s="2"/>
      <c r="O205" s="2"/>
      <c r="P205" s="2"/>
      <c r="Q205" s="2"/>
      <c r="R205" s="2"/>
      <c r="S205" s="2"/>
      <c r="T205" s="2"/>
      <c r="U205" s="2"/>
      <c r="V205" s="2"/>
      <c r="W205" s="2"/>
      <c r="X205" s="2"/>
      <c r="Y205" s="2"/>
      <c r="Z205" s="2"/>
    </row>
    <row r="206" ht="15.75" customHeight="1">
      <c r="A206" s="1"/>
      <c r="B206" s="1"/>
      <c r="C206" s="1"/>
      <c r="D206" s="1"/>
      <c r="E206" s="1"/>
      <c r="F206" s="1"/>
      <c r="G206" s="2"/>
      <c r="H206" s="2"/>
      <c r="I206" s="2"/>
      <c r="J206" s="2"/>
      <c r="K206" s="2"/>
      <c r="L206" s="2"/>
      <c r="M206" s="2"/>
      <c r="N206" s="2"/>
      <c r="O206" s="2"/>
      <c r="P206" s="2"/>
      <c r="Q206" s="2"/>
      <c r="R206" s="2"/>
      <c r="S206" s="2"/>
      <c r="T206" s="2"/>
      <c r="U206" s="2"/>
      <c r="V206" s="2"/>
      <c r="W206" s="2"/>
      <c r="X206" s="2"/>
      <c r="Y206" s="2"/>
      <c r="Z206" s="2"/>
    </row>
    <row r="207" ht="15.75" customHeight="1">
      <c r="A207" s="1"/>
      <c r="B207" s="1"/>
      <c r="C207" s="1"/>
      <c r="D207" s="1"/>
      <c r="E207" s="1"/>
      <c r="F207" s="1"/>
      <c r="G207" s="2"/>
      <c r="H207" s="2"/>
      <c r="I207" s="2"/>
      <c r="J207" s="2"/>
      <c r="K207" s="2"/>
      <c r="L207" s="2"/>
      <c r="M207" s="2"/>
      <c r="N207" s="2"/>
      <c r="O207" s="2"/>
      <c r="P207" s="2"/>
      <c r="Q207" s="2"/>
      <c r="R207" s="2"/>
      <c r="S207" s="2"/>
      <c r="T207" s="2"/>
      <c r="U207" s="2"/>
      <c r="V207" s="2"/>
      <c r="W207" s="2"/>
      <c r="X207" s="2"/>
      <c r="Y207" s="2"/>
      <c r="Z207" s="2"/>
    </row>
    <row r="208" ht="15.75" customHeight="1">
      <c r="A208" s="1"/>
      <c r="B208" s="1"/>
      <c r="C208" s="1"/>
      <c r="D208" s="1"/>
      <c r="E208" s="1"/>
      <c r="F208" s="1"/>
      <c r="G208" s="2"/>
      <c r="H208" s="2"/>
      <c r="I208" s="2"/>
      <c r="J208" s="2"/>
      <c r="K208" s="2"/>
      <c r="L208" s="2"/>
      <c r="M208" s="2"/>
      <c r="N208" s="2"/>
      <c r="O208" s="2"/>
      <c r="P208" s="2"/>
      <c r="Q208" s="2"/>
      <c r="R208" s="2"/>
      <c r="S208" s="2"/>
      <c r="T208" s="2"/>
      <c r="U208" s="2"/>
      <c r="V208" s="2"/>
      <c r="W208" s="2"/>
      <c r="X208" s="2"/>
      <c r="Y208" s="2"/>
      <c r="Z208" s="2"/>
    </row>
    <row r="209" ht="15.75" customHeight="1">
      <c r="A209" s="1"/>
      <c r="B209" s="1"/>
      <c r="C209" s="1"/>
      <c r="D209" s="1"/>
      <c r="E209" s="1"/>
      <c r="F209" s="1"/>
      <c r="G209" s="2"/>
      <c r="H209" s="2"/>
      <c r="I209" s="2"/>
      <c r="J209" s="2"/>
      <c r="K209" s="2"/>
      <c r="L209" s="2"/>
      <c r="M209" s="2"/>
      <c r="N209" s="2"/>
      <c r="O209" s="2"/>
      <c r="P209" s="2"/>
      <c r="Q209" s="2"/>
      <c r="R209" s="2"/>
      <c r="S209" s="2"/>
      <c r="T209" s="2"/>
      <c r="U209" s="2"/>
      <c r="V209" s="2"/>
      <c r="W209" s="2"/>
      <c r="X209" s="2"/>
      <c r="Y209" s="2"/>
      <c r="Z209" s="2"/>
    </row>
    <row r="210" ht="15.75" customHeight="1">
      <c r="A210" s="1"/>
      <c r="B210" s="1"/>
      <c r="C210" s="1"/>
      <c r="D210" s="1"/>
      <c r="E210" s="1"/>
      <c r="F210" s="1"/>
      <c r="G210" s="2"/>
      <c r="H210" s="2"/>
      <c r="I210" s="2"/>
      <c r="J210" s="2"/>
      <c r="K210" s="2"/>
      <c r="L210" s="2"/>
      <c r="M210" s="2"/>
      <c r="N210" s="2"/>
      <c r="O210" s="2"/>
      <c r="P210" s="2"/>
      <c r="Q210" s="2"/>
      <c r="R210" s="2"/>
      <c r="S210" s="2"/>
      <c r="T210" s="2"/>
      <c r="U210" s="2"/>
      <c r="V210" s="2"/>
      <c r="W210" s="2"/>
      <c r="X210" s="2"/>
      <c r="Y210" s="2"/>
      <c r="Z210" s="2"/>
    </row>
    <row r="211" ht="15.75" customHeight="1">
      <c r="A211" s="1"/>
      <c r="B211" s="1"/>
      <c r="C211" s="1"/>
      <c r="D211" s="1"/>
      <c r="E211" s="1"/>
      <c r="F211" s="1"/>
      <c r="G211" s="2"/>
      <c r="H211" s="2"/>
      <c r="I211" s="2"/>
      <c r="J211" s="2"/>
      <c r="K211" s="2"/>
      <c r="L211" s="2"/>
      <c r="M211" s="2"/>
      <c r="N211" s="2"/>
      <c r="O211" s="2"/>
      <c r="P211" s="2"/>
      <c r="Q211" s="2"/>
      <c r="R211" s="2"/>
      <c r="S211" s="2"/>
      <c r="T211" s="2"/>
      <c r="U211" s="2"/>
      <c r="V211" s="2"/>
      <c r="W211" s="2"/>
      <c r="X211" s="2"/>
      <c r="Y211" s="2"/>
      <c r="Z211" s="2"/>
    </row>
    <row r="212" ht="15.75" customHeight="1">
      <c r="A212" s="1"/>
      <c r="B212" s="1"/>
      <c r="C212" s="1"/>
      <c r="D212" s="1"/>
      <c r="E212" s="1"/>
      <c r="F212" s="1"/>
      <c r="G212" s="2"/>
      <c r="H212" s="2"/>
      <c r="I212" s="2"/>
      <c r="J212" s="2"/>
      <c r="K212" s="2"/>
      <c r="L212" s="2"/>
      <c r="M212" s="2"/>
      <c r="N212" s="2"/>
      <c r="O212" s="2"/>
      <c r="P212" s="2"/>
      <c r="Q212" s="2"/>
      <c r="R212" s="2"/>
      <c r="S212" s="2"/>
      <c r="T212" s="2"/>
      <c r="U212" s="2"/>
      <c r="V212" s="2"/>
      <c r="W212" s="2"/>
      <c r="X212" s="2"/>
      <c r="Y212" s="2"/>
      <c r="Z212" s="2"/>
    </row>
    <row r="213" ht="15.75" customHeight="1">
      <c r="A213" s="1"/>
      <c r="B213" s="1"/>
      <c r="C213" s="1"/>
      <c r="D213" s="1"/>
      <c r="E213" s="1"/>
      <c r="F213" s="1"/>
      <c r="G213" s="2"/>
      <c r="H213" s="2"/>
      <c r="I213" s="2"/>
      <c r="J213" s="2"/>
      <c r="K213" s="2"/>
      <c r="L213" s="2"/>
      <c r="M213" s="2"/>
      <c r="N213" s="2"/>
      <c r="O213" s="2"/>
      <c r="P213" s="2"/>
      <c r="Q213" s="2"/>
      <c r="R213" s="2"/>
      <c r="S213" s="2"/>
      <c r="T213" s="2"/>
      <c r="U213" s="2"/>
      <c r="V213" s="2"/>
      <c r="W213" s="2"/>
      <c r="X213" s="2"/>
      <c r="Y213" s="2"/>
      <c r="Z213" s="2"/>
    </row>
    <row r="214" ht="15.75" customHeight="1">
      <c r="A214" s="1"/>
      <c r="B214" s="1"/>
      <c r="C214" s="1"/>
      <c r="D214" s="1"/>
      <c r="E214" s="1"/>
      <c r="F214" s="1"/>
      <c r="G214" s="2"/>
      <c r="H214" s="2"/>
      <c r="I214" s="2"/>
      <c r="J214" s="2"/>
      <c r="K214" s="2"/>
      <c r="L214" s="2"/>
      <c r="M214" s="2"/>
      <c r="N214" s="2"/>
      <c r="O214" s="2"/>
      <c r="P214" s="2"/>
      <c r="Q214" s="2"/>
      <c r="R214" s="2"/>
      <c r="S214" s="2"/>
      <c r="T214" s="2"/>
      <c r="U214" s="2"/>
      <c r="V214" s="2"/>
      <c r="W214" s="2"/>
      <c r="X214" s="2"/>
      <c r="Y214" s="2"/>
      <c r="Z214" s="2"/>
    </row>
    <row r="215" ht="15.75" customHeight="1">
      <c r="A215" s="1"/>
      <c r="B215" s="1"/>
      <c r="C215" s="1"/>
      <c r="D215" s="1"/>
      <c r="E215" s="1"/>
      <c r="F215" s="1"/>
      <c r="G215" s="2"/>
      <c r="H215" s="2"/>
      <c r="I215" s="2"/>
      <c r="J215" s="2"/>
      <c r="K215" s="2"/>
      <c r="L215" s="2"/>
      <c r="M215" s="2"/>
      <c r="N215" s="2"/>
      <c r="O215" s="2"/>
      <c r="P215" s="2"/>
      <c r="Q215" s="2"/>
      <c r="R215" s="2"/>
      <c r="S215" s="2"/>
      <c r="T215" s="2"/>
      <c r="U215" s="2"/>
      <c r="V215" s="2"/>
      <c r="W215" s="2"/>
      <c r="X215" s="2"/>
      <c r="Y215" s="2"/>
      <c r="Z215" s="2"/>
    </row>
    <row r="216" ht="15.75" customHeight="1">
      <c r="A216" s="1"/>
      <c r="B216" s="1"/>
      <c r="C216" s="1"/>
      <c r="D216" s="1"/>
      <c r="E216" s="1"/>
      <c r="F216" s="1"/>
      <c r="G216" s="2"/>
      <c r="H216" s="2"/>
      <c r="I216" s="2"/>
      <c r="J216" s="2"/>
      <c r="K216" s="2"/>
      <c r="L216" s="2"/>
      <c r="M216" s="2"/>
      <c r="N216" s="2"/>
      <c r="O216" s="2"/>
      <c r="P216" s="2"/>
      <c r="Q216" s="2"/>
      <c r="R216" s="2"/>
      <c r="S216" s="2"/>
      <c r="T216" s="2"/>
      <c r="U216" s="2"/>
      <c r="V216" s="2"/>
      <c r="W216" s="2"/>
      <c r="X216" s="2"/>
      <c r="Y216" s="2"/>
      <c r="Z216" s="2"/>
    </row>
    <row r="217" ht="15.75" customHeight="1">
      <c r="A217" s="1"/>
      <c r="B217" s="1"/>
      <c r="C217" s="1"/>
      <c r="D217" s="1"/>
      <c r="E217" s="1"/>
      <c r="F217" s="1"/>
      <c r="G217" s="2"/>
      <c r="H217" s="2"/>
      <c r="I217" s="2"/>
      <c r="J217" s="2"/>
      <c r="K217" s="2"/>
      <c r="L217" s="2"/>
      <c r="M217" s="2"/>
      <c r="N217" s="2"/>
      <c r="O217" s="2"/>
      <c r="P217" s="2"/>
      <c r="Q217" s="2"/>
      <c r="R217" s="2"/>
      <c r="S217" s="2"/>
      <c r="T217" s="2"/>
      <c r="U217" s="2"/>
      <c r="V217" s="2"/>
      <c r="W217" s="2"/>
      <c r="X217" s="2"/>
      <c r="Y217" s="2"/>
      <c r="Z217" s="2"/>
    </row>
    <row r="218" ht="15.75" customHeight="1">
      <c r="A218" s="1"/>
      <c r="B218" s="1"/>
      <c r="C218" s="1"/>
      <c r="D218" s="1"/>
      <c r="E218" s="1"/>
      <c r="F218" s="1"/>
      <c r="G218" s="2"/>
      <c r="H218" s="2"/>
      <c r="I218" s="2"/>
      <c r="J218" s="2"/>
      <c r="K218" s="2"/>
      <c r="L218" s="2"/>
      <c r="M218" s="2"/>
      <c r="N218" s="2"/>
      <c r="O218" s="2"/>
      <c r="P218" s="2"/>
      <c r="Q218" s="2"/>
      <c r="R218" s="2"/>
      <c r="S218" s="2"/>
      <c r="T218" s="2"/>
      <c r="U218" s="2"/>
      <c r="V218" s="2"/>
      <c r="W218" s="2"/>
      <c r="X218" s="2"/>
      <c r="Y218" s="2"/>
      <c r="Z218" s="2"/>
    </row>
    <row r="219" ht="15.75" customHeight="1">
      <c r="A219" s="1"/>
      <c r="B219" s="1"/>
      <c r="C219" s="1"/>
      <c r="D219" s="1"/>
      <c r="E219" s="1"/>
      <c r="F219" s="1"/>
      <c r="G219" s="2"/>
      <c r="H219" s="2"/>
      <c r="I219" s="2"/>
      <c r="J219" s="2"/>
      <c r="K219" s="2"/>
      <c r="L219" s="2"/>
      <c r="M219" s="2"/>
      <c r="N219" s="2"/>
      <c r="O219" s="2"/>
      <c r="P219" s="2"/>
      <c r="Q219" s="2"/>
      <c r="R219" s="2"/>
      <c r="S219" s="2"/>
      <c r="T219" s="2"/>
      <c r="U219" s="2"/>
      <c r="V219" s="2"/>
      <c r="W219" s="2"/>
      <c r="X219" s="2"/>
      <c r="Y219" s="2"/>
      <c r="Z219" s="2"/>
    </row>
    <row r="220" ht="15.75" customHeight="1">
      <c r="A220" s="1"/>
      <c r="B220" s="1"/>
      <c r="C220" s="1"/>
      <c r="D220" s="1"/>
      <c r="E220" s="1"/>
      <c r="F220" s="1"/>
      <c r="G220" s="2"/>
      <c r="H220" s="2"/>
      <c r="I220" s="2"/>
      <c r="J220" s="2"/>
      <c r="K220" s="2"/>
      <c r="L220" s="2"/>
      <c r="M220" s="2"/>
      <c r="N220" s="2"/>
      <c r="O220" s="2"/>
      <c r="P220" s="2"/>
      <c r="Q220" s="2"/>
      <c r="R220" s="2"/>
      <c r="S220" s="2"/>
      <c r="T220" s="2"/>
      <c r="U220" s="2"/>
      <c r="V220" s="2"/>
      <c r="W220" s="2"/>
      <c r="X220" s="2"/>
      <c r="Y220" s="2"/>
      <c r="Z220" s="2"/>
    </row>
    <row r="221" ht="15.75" customHeight="1">
      <c r="A221" s="1"/>
      <c r="B221" s="1"/>
      <c r="C221" s="1"/>
      <c r="D221" s="1"/>
      <c r="E221" s="1"/>
      <c r="F221" s="1"/>
      <c r="G221" s="2"/>
      <c r="H221" s="2"/>
      <c r="I221" s="2"/>
      <c r="J221" s="2"/>
      <c r="K221" s="2"/>
      <c r="L221" s="2"/>
      <c r="M221" s="2"/>
      <c r="N221" s="2"/>
      <c r="O221" s="2"/>
      <c r="P221" s="2"/>
      <c r="Q221" s="2"/>
      <c r="R221" s="2"/>
      <c r="S221" s="2"/>
      <c r="T221" s="2"/>
      <c r="U221" s="2"/>
      <c r="V221" s="2"/>
      <c r="W221" s="2"/>
      <c r="X221" s="2"/>
      <c r="Y221" s="2"/>
      <c r="Z221" s="2"/>
    </row>
    <row r="222" ht="15.75" customHeight="1">
      <c r="A222" s="1"/>
      <c r="B222" s="1"/>
      <c r="C222" s="1"/>
      <c r="D222" s="1"/>
      <c r="E222" s="1"/>
      <c r="F222" s="1"/>
      <c r="G222" s="2"/>
      <c r="H222" s="2"/>
      <c r="I222" s="2"/>
      <c r="J222" s="2"/>
      <c r="K222" s="2"/>
      <c r="L222" s="2"/>
      <c r="M222" s="2"/>
      <c r="N222" s="2"/>
      <c r="O222" s="2"/>
      <c r="P222" s="2"/>
      <c r="Q222" s="2"/>
      <c r="R222" s="2"/>
      <c r="S222" s="2"/>
      <c r="T222" s="2"/>
      <c r="U222" s="2"/>
      <c r="V222" s="2"/>
      <c r="W222" s="2"/>
      <c r="X222" s="2"/>
      <c r="Y222" s="2"/>
      <c r="Z222" s="2"/>
    </row>
    <row r="223" ht="15.75" customHeight="1">
      <c r="A223" s="1"/>
      <c r="B223" s="1"/>
      <c r="C223" s="1"/>
      <c r="D223" s="1"/>
      <c r="E223" s="1"/>
      <c r="F223" s="1"/>
      <c r="G223" s="2"/>
      <c r="H223" s="2"/>
      <c r="I223" s="2"/>
      <c r="J223" s="2"/>
      <c r="K223" s="2"/>
      <c r="L223" s="2"/>
      <c r="M223" s="2"/>
      <c r="N223" s="2"/>
      <c r="O223" s="2"/>
      <c r="P223" s="2"/>
      <c r="Q223" s="2"/>
      <c r="R223" s="2"/>
      <c r="S223" s="2"/>
      <c r="T223" s="2"/>
      <c r="U223" s="2"/>
      <c r="V223" s="2"/>
      <c r="W223" s="2"/>
      <c r="X223" s="2"/>
      <c r="Y223" s="2"/>
      <c r="Z223" s="2"/>
    </row>
    <row r="224" ht="15.75" customHeight="1">
      <c r="A224" s="1"/>
      <c r="B224" s="1"/>
      <c r="C224" s="1"/>
      <c r="D224" s="1"/>
      <c r="E224" s="1"/>
      <c r="F224" s="1"/>
      <c r="G224" s="2"/>
      <c r="H224" s="2"/>
      <c r="I224" s="2"/>
      <c r="J224" s="2"/>
      <c r="K224" s="2"/>
      <c r="L224" s="2"/>
      <c r="M224" s="2"/>
      <c r="N224" s="2"/>
      <c r="O224" s="2"/>
      <c r="P224" s="2"/>
      <c r="Q224" s="2"/>
      <c r="R224" s="2"/>
      <c r="S224" s="2"/>
      <c r="T224" s="2"/>
      <c r="U224" s="2"/>
      <c r="V224" s="2"/>
      <c r="W224" s="2"/>
      <c r="X224" s="2"/>
      <c r="Y224" s="2"/>
      <c r="Z224" s="2"/>
    </row>
    <row r="225" ht="15.75" customHeight="1">
      <c r="A225" s="1"/>
      <c r="B225" s="1"/>
      <c r="C225" s="1"/>
      <c r="D225" s="1"/>
      <c r="E225" s="1"/>
      <c r="F225" s="1"/>
      <c r="G225" s="2"/>
      <c r="H225" s="2"/>
      <c r="I225" s="2"/>
      <c r="J225" s="2"/>
      <c r="K225" s="2"/>
      <c r="L225" s="2"/>
      <c r="M225" s="2"/>
      <c r="N225" s="2"/>
      <c r="O225" s="2"/>
      <c r="P225" s="2"/>
      <c r="Q225" s="2"/>
      <c r="R225" s="2"/>
      <c r="S225" s="2"/>
      <c r="T225" s="2"/>
      <c r="U225" s="2"/>
      <c r="V225" s="2"/>
      <c r="W225" s="2"/>
      <c r="X225" s="2"/>
      <c r="Y225" s="2"/>
      <c r="Z225" s="2"/>
    </row>
    <row r="226" ht="15.75" customHeight="1">
      <c r="A226" s="1"/>
      <c r="B226" s="1"/>
      <c r="C226" s="1"/>
      <c r="D226" s="1"/>
      <c r="E226" s="1"/>
      <c r="F226" s="1"/>
      <c r="G226" s="2"/>
      <c r="H226" s="2"/>
      <c r="I226" s="2"/>
      <c r="J226" s="2"/>
      <c r="K226" s="2"/>
      <c r="L226" s="2"/>
      <c r="M226" s="2"/>
      <c r="N226" s="2"/>
      <c r="O226" s="2"/>
      <c r="P226" s="2"/>
      <c r="Q226" s="2"/>
      <c r="R226" s="2"/>
      <c r="S226" s="2"/>
      <c r="T226" s="2"/>
      <c r="U226" s="2"/>
      <c r="V226" s="2"/>
      <c r="W226" s="2"/>
      <c r="X226" s="2"/>
      <c r="Y226" s="2"/>
      <c r="Z226" s="2"/>
    </row>
    <row r="227" ht="15.75" customHeight="1">
      <c r="A227" s="1"/>
      <c r="B227" s="1"/>
      <c r="C227" s="1"/>
      <c r="D227" s="1"/>
      <c r="E227" s="1"/>
      <c r="F227" s="1"/>
      <c r="G227" s="2"/>
      <c r="H227" s="2"/>
      <c r="I227" s="2"/>
      <c r="J227" s="2"/>
      <c r="K227" s="2"/>
      <c r="L227" s="2"/>
      <c r="M227" s="2"/>
      <c r="N227" s="2"/>
      <c r="O227" s="2"/>
      <c r="P227" s="2"/>
      <c r="Q227" s="2"/>
      <c r="R227" s="2"/>
      <c r="S227" s="2"/>
      <c r="T227" s="2"/>
      <c r="U227" s="2"/>
      <c r="V227" s="2"/>
      <c r="W227" s="2"/>
      <c r="X227" s="2"/>
      <c r="Y227" s="2"/>
      <c r="Z227" s="2"/>
    </row>
    <row r="228" ht="15.75" customHeight="1">
      <c r="A228" s="1"/>
      <c r="B228" s="1"/>
      <c r="C228" s="1"/>
      <c r="D228" s="1"/>
      <c r="E228" s="1"/>
      <c r="F228" s="1"/>
      <c r="G228" s="2"/>
      <c r="H228" s="2"/>
      <c r="I228" s="2"/>
      <c r="J228" s="2"/>
      <c r="K228" s="2"/>
      <c r="L228" s="2"/>
      <c r="M228" s="2"/>
      <c r="N228" s="2"/>
      <c r="O228" s="2"/>
      <c r="P228" s="2"/>
      <c r="Q228" s="2"/>
      <c r="R228" s="2"/>
      <c r="S228" s="2"/>
      <c r="T228" s="2"/>
      <c r="U228" s="2"/>
      <c r="V228" s="2"/>
      <c r="W228" s="2"/>
      <c r="X228" s="2"/>
      <c r="Y228" s="2"/>
      <c r="Z228" s="2"/>
    </row>
    <row r="229" ht="15.75" customHeight="1">
      <c r="A229" s="1"/>
      <c r="B229" s="1"/>
      <c r="C229" s="1"/>
      <c r="D229" s="1"/>
      <c r="E229" s="1"/>
      <c r="F229" s="1"/>
      <c r="G229" s="2"/>
      <c r="H229" s="2"/>
      <c r="I229" s="2"/>
      <c r="J229" s="2"/>
      <c r="K229" s="2"/>
      <c r="L229" s="2"/>
      <c r="M229" s="2"/>
      <c r="N229" s="2"/>
      <c r="O229" s="2"/>
      <c r="P229" s="2"/>
      <c r="Q229" s="2"/>
      <c r="R229" s="2"/>
      <c r="S229" s="2"/>
      <c r="T229" s="2"/>
      <c r="U229" s="2"/>
      <c r="V229" s="2"/>
      <c r="W229" s="2"/>
      <c r="X229" s="2"/>
      <c r="Y229" s="2"/>
      <c r="Z229" s="2"/>
    </row>
    <row r="230" ht="15.75" customHeight="1">
      <c r="A230" s="1"/>
      <c r="B230" s="1"/>
      <c r="C230" s="1"/>
      <c r="D230" s="1"/>
      <c r="E230" s="1"/>
      <c r="F230" s="1"/>
      <c r="G230" s="2"/>
      <c r="H230" s="2"/>
      <c r="I230" s="2"/>
      <c r="J230" s="2"/>
      <c r="K230" s="2"/>
      <c r="L230" s="2"/>
      <c r="M230" s="2"/>
      <c r="N230" s="2"/>
      <c r="O230" s="2"/>
      <c r="P230" s="2"/>
      <c r="Q230" s="2"/>
      <c r="R230" s="2"/>
      <c r="S230" s="2"/>
      <c r="T230" s="2"/>
      <c r="U230" s="2"/>
      <c r="V230" s="2"/>
      <c r="W230" s="2"/>
      <c r="X230" s="2"/>
      <c r="Y230" s="2"/>
      <c r="Z230" s="2"/>
    </row>
    <row r="231" ht="15.75" customHeight="1">
      <c r="A231" s="1"/>
      <c r="B231" s="1"/>
      <c r="C231" s="1"/>
      <c r="D231" s="1"/>
      <c r="E231" s="1"/>
      <c r="F231" s="1"/>
      <c r="G231" s="2"/>
      <c r="H231" s="2"/>
      <c r="I231" s="2"/>
      <c r="J231" s="2"/>
      <c r="K231" s="2"/>
      <c r="L231" s="2"/>
      <c r="M231" s="2"/>
      <c r="N231" s="2"/>
      <c r="O231" s="2"/>
      <c r="P231" s="2"/>
      <c r="Q231" s="2"/>
      <c r="R231" s="2"/>
      <c r="S231" s="2"/>
      <c r="T231" s="2"/>
      <c r="U231" s="2"/>
      <c r="V231" s="2"/>
      <c r="W231" s="2"/>
      <c r="X231" s="2"/>
      <c r="Y231" s="2"/>
      <c r="Z231" s="2"/>
    </row>
    <row r="232" ht="15.75" customHeight="1">
      <c r="A232" s="1"/>
      <c r="B232" s="1"/>
      <c r="C232" s="1"/>
      <c r="D232" s="1"/>
      <c r="E232" s="1"/>
      <c r="F232" s="1"/>
      <c r="G232" s="2"/>
      <c r="H232" s="2"/>
      <c r="I232" s="2"/>
      <c r="J232" s="2"/>
      <c r="K232" s="2"/>
      <c r="L232" s="2"/>
      <c r="M232" s="2"/>
      <c r="N232" s="2"/>
      <c r="O232" s="2"/>
      <c r="P232" s="2"/>
      <c r="Q232" s="2"/>
      <c r="R232" s="2"/>
      <c r="S232" s="2"/>
      <c r="T232" s="2"/>
      <c r="U232" s="2"/>
      <c r="V232" s="2"/>
      <c r="W232" s="2"/>
      <c r="X232" s="2"/>
      <c r="Y232" s="2"/>
      <c r="Z232" s="2"/>
    </row>
    <row r="233" ht="15.75" customHeight="1">
      <c r="A233" s="1"/>
      <c r="B233" s="1"/>
      <c r="C233" s="1"/>
      <c r="D233" s="1"/>
      <c r="E233" s="1"/>
      <c r="F233" s="1"/>
      <c r="G233" s="2"/>
      <c r="H233" s="2"/>
      <c r="I233" s="2"/>
      <c r="J233" s="2"/>
      <c r="K233" s="2"/>
      <c r="L233" s="2"/>
      <c r="M233" s="2"/>
      <c r="N233" s="2"/>
      <c r="O233" s="2"/>
      <c r="P233" s="2"/>
      <c r="Q233" s="2"/>
      <c r="R233" s="2"/>
      <c r="S233" s="2"/>
      <c r="T233" s="2"/>
      <c r="U233" s="2"/>
      <c r="V233" s="2"/>
      <c r="W233" s="2"/>
      <c r="X233" s="2"/>
      <c r="Y233" s="2"/>
      <c r="Z233" s="2"/>
    </row>
    <row r="234" ht="15.75" customHeight="1">
      <c r="A234" s="1"/>
      <c r="B234" s="1"/>
      <c r="C234" s="1"/>
      <c r="D234" s="1"/>
      <c r="E234" s="1"/>
      <c r="F234" s="1"/>
      <c r="G234" s="2"/>
      <c r="H234" s="2"/>
      <c r="I234" s="2"/>
      <c r="J234" s="2"/>
      <c r="K234" s="2"/>
      <c r="L234" s="2"/>
      <c r="M234" s="2"/>
      <c r="N234" s="2"/>
      <c r="O234" s="2"/>
      <c r="P234" s="2"/>
      <c r="Q234" s="2"/>
      <c r="R234" s="2"/>
      <c r="S234" s="2"/>
      <c r="T234" s="2"/>
      <c r="U234" s="2"/>
      <c r="V234" s="2"/>
      <c r="W234" s="2"/>
      <c r="X234" s="2"/>
      <c r="Y234" s="2"/>
      <c r="Z234" s="2"/>
    </row>
    <row r="235" ht="15.75" customHeight="1">
      <c r="A235" s="1"/>
      <c r="B235" s="1"/>
      <c r="C235" s="1"/>
      <c r="D235" s="1"/>
      <c r="E235" s="1"/>
      <c r="F235" s="1"/>
      <c r="G235" s="2"/>
      <c r="H235" s="2"/>
      <c r="I235" s="2"/>
      <c r="J235" s="2"/>
      <c r="K235" s="2"/>
      <c r="L235" s="2"/>
      <c r="M235" s="2"/>
      <c r="N235" s="2"/>
      <c r="O235" s="2"/>
      <c r="P235" s="2"/>
      <c r="Q235" s="2"/>
      <c r="R235" s="2"/>
      <c r="S235" s="2"/>
      <c r="T235" s="2"/>
      <c r="U235" s="2"/>
      <c r="V235" s="2"/>
      <c r="W235" s="2"/>
      <c r="X235" s="2"/>
      <c r="Y235" s="2"/>
      <c r="Z235" s="2"/>
    </row>
    <row r="236" ht="15.75" customHeight="1">
      <c r="A236" s="1"/>
      <c r="B236" s="1"/>
      <c r="C236" s="1"/>
      <c r="D236" s="1"/>
      <c r="E236" s="1"/>
      <c r="F236" s="1"/>
      <c r="G236" s="2"/>
      <c r="H236" s="2"/>
      <c r="I236" s="2"/>
      <c r="J236" s="2"/>
      <c r="K236" s="2"/>
      <c r="L236" s="2"/>
      <c r="M236" s="2"/>
      <c r="N236" s="2"/>
      <c r="O236" s="2"/>
      <c r="P236" s="2"/>
      <c r="Q236" s="2"/>
      <c r="R236" s="2"/>
      <c r="S236" s="2"/>
      <c r="T236" s="2"/>
      <c r="U236" s="2"/>
      <c r="V236" s="2"/>
      <c r="W236" s="2"/>
      <c r="X236" s="2"/>
      <c r="Y236" s="2"/>
      <c r="Z236" s="2"/>
    </row>
    <row r="237" ht="15.75" customHeight="1">
      <c r="A237" s="1"/>
      <c r="B237" s="1"/>
      <c r="C237" s="1"/>
      <c r="D237" s="1"/>
      <c r="E237" s="1"/>
      <c r="F237" s="1"/>
      <c r="G237" s="2"/>
      <c r="H237" s="2"/>
      <c r="I237" s="2"/>
      <c r="J237" s="2"/>
      <c r="K237" s="2"/>
      <c r="L237" s="2"/>
      <c r="M237" s="2"/>
      <c r="N237" s="2"/>
      <c r="O237" s="2"/>
      <c r="P237" s="2"/>
      <c r="Q237" s="2"/>
      <c r="R237" s="2"/>
      <c r="S237" s="2"/>
      <c r="T237" s="2"/>
      <c r="U237" s="2"/>
      <c r="V237" s="2"/>
      <c r="W237" s="2"/>
      <c r="X237" s="2"/>
      <c r="Y237" s="2"/>
      <c r="Z237" s="2"/>
    </row>
    <row r="238" ht="15.75" customHeight="1">
      <c r="A238" s="1"/>
      <c r="B238" s="1"/>
      <c r="C238" s="1"/>
      <c r="D238" s="1"/>
      <c r="E238" s="1"/>
      <c r="F238" s="1"/>
      <c r="G238" s="2"/>
      <c r="H238" s="2"/>
      <c r="I238" s="2"/>
      <c r="J238" s="2"/>
      <c r="K238" s="2"/>
      <c r="L238" s="2"/>
      <c r="M238" s="2"/>
      <c r="N238" s="2"/>
      <c r="O238" s="2"/>
      <c r="P238" s="2"/>
      <c r="Q238" s="2"/>
      <c r="R238" s="2"/>
      <c r="S238" s="2"/>
      <c r="T238" s="2"/>
      <c r="U238" s="2"/>
      <c r="V238" s="2"/>
      <c r="W238" s="2"/>
      <c r="X238" s="2"/>
      <c r="Y238" s="2"/>
      <c r="Z238" s="2"/>
    </row>
    <row r="239" ht="15.75" customHeight="1">
      <c r="A239" s="1"/>
      <c r="B239" s="1"/>
      <c r="C239" s="1"/>
      <c r="D239" s="1"/>
      <c r="E239" s="1"/>
      <c r="F239" s="1"/>
      <c r="G239" s="2"/>
      <c r="H239" s="2"/>
      <c r="I239" s="2"/>
      <c r="J239" s="2"/>
      <c r="K239" s="2"/>
      <c r="L239" s="2"/>
      <c r="M239" s="2"/>
      <c r="N239" s="2"/>
      <c r="O239" s="2"/>
      <c r="P239" s="2"/>
      <c r="Q239" s="2"/>
      <c r="R239" s="2"/>
      <c r="S239" s="2"/>
      <c r="T239" s="2"/>
      <c r="U239" s="2"/>
      <c r="V239" s="2"/>
      <c r="W239" s="2"/>
      <c r="X239" s="2"/>
      <c r="Y239" s="2"/>
      <c r="Z239" s="2"/>
    </row>
    <row r="240" ht="15.75" customHeight="1">
      <c r="A240" s="1"/>
      <c r="B240" s="1"/>
      <c r="C240" s="1"/>
      <c r="D240" s="1"/>
      <c r="E240" s="1"/>
      <c r="F240" s="1"/>
      <c r="G240" s="2"/>
      <c r="H240" s="2"/>
      <c r="I240" s="2"/>
      <c r="J240" s="2"/>
      <c r="K240" s="2"/>
      <c r="L240" s="2"/>
      <c r="M240" s="2"/>
      <c r="N240" s="2"/>
      <c r="O240" s="2"/>
      <c r="P240" s="2"/>
      <c r="Q240" s="2"/>
      <c r="R240" s="2"/>
      <c r="S240" s="2"/>
      <c r="T240" s="2"/>
      <c r="U240" s="2"/>
      <c r="V240" s="2"/>
      <c r="W240" s="2"/>
      <c r="X240" s="2"/>
      <c r="Y240" s="2"/>
      <c r="Z240" s="2"/>
    </row>
    <row r="241" ht="15.75" customHeight="1">
      <c r="A241" s="1"/>
      <c r="B241" s="1"/>
      <c r="C241" s="1"/>
      <c r="D241" s="1"/>
      <c r="E241" s="1"/>
      <c r="F241" s="1"/>
      <c r="G241" s="2"/>
      <c r="H241" s="2"/>
      <c r="I241" s="2"/>
      <c r="J241" s="2"/>
      <c r="K241" s="2"/>
      <c r="L241" s="2"/>
      <c r="M241" s="2"/>
      <c r="N241" s="2"/>
      <c r="O241" s="2"/>
      <c r="P241" s="2"/>
      <c r="Q241" s="2"/>
      <c r="R241" s="2"/>
      <c r="S241" s="2"/>
      <c r="T241" s="2"/>
      <c r="U241" s="2"/>
      <c r="V241" s="2"/>
      <c r="W241" s="2"/>
      <c r="X241" s="2"/>
      <c r="Y241" s="2"/>
      <c r="Z241" s="2"/>
    </row>
    <row r="242" ht="15.75" customHeight="1">
      <c r="A242" s="1"/>
      <c r="B242" s="1"/>
      <c r="C242" s="1"/>
      <c r="D242" s="1"/>
      <c r="E242" s="1"/>
      <c r="F242" s="1"/>
      <c r="G242" s="2"/>
      <c r="H242" s="2"/>
      <c r="I242" s="2"/>
      <c r="J242" s="2"/>
      <c r="K242" s="2"/>
      <c r="L242" s="2"/>
      <c r="M242" s="2"/>
      <c r="N242" s="2"/>
      <c r="O242" s="2"/>
      <c r="P242" s="2"/>
      <c r="Q242" s="2"/>
      <c r="R242" s="2"/>
      <c r="S242" s="2"/>
      <c r="T242" s="2"/>
      <c r="U242" s="2"/>
      <c r="V242" s="2"/>
      <c r="W242" s="2"/>
      <c r="X242" s="2"/>
      <c r="Y242" s="2"/>
      <c r="Z242" s="2"/>
    </row>
    <row r="243" ht="15.75" customHeight="1">
      <c r="A243" s="1"/>
      <c r="B243" s="1"/>
      <c r="C243" s="1"/>
      <c r="D243" s="1"/>
      <c r="E243" s="1"/>
      <c r="F243" s="1"/>
      <c r="G243" s="2"/>
      <c r="H243" s="2"/>
      <c r="I243" s="2"/>
      <c r="J243" s="2"/>
      <c r="K243" s="2"/>
      <c r="L243" s="2"/>
      <c r="M243" s="2"/>
      <c r="N243" s="2"/>
      <c r="O243" s="2"/>
      <c r="P243" s="2"/>
      <c r="Q243" s="2"/>
      <c r="R243" s="2"/>
      <c r="S243" s="2"/>
      <c r="T243" s="2"/>
      <c r="U243" s="2"/>
      <c r="V243" s="2"/>
      <c r="W243" s="2"/>
      <c r="X243" s="2"/>
      <c r="Y243" s="2"/>
      <c r="Z243" s="2"/>
    </row>
    <row r="244" ht="15.75" customHeight="1">
      <c r="A244" s="1"/>
      <c r="B244" s="1"/>
      <c r="C244" s="1"/>
      <c r="D244" s="1"/>
      <c r="E244" s="1"/>
      <c r="F244" s="1"/>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6">
    <mergeCell ref="A1:F1"/>
    <mergeCell ref="A2:F2"/>
    <mergeCell ref="A4:F4"/>
    <mergeCell ref="A11:F11"/>
    <mergeCell ref="C15:F15"/>
    <mergeCell ref="A21:F21"/>
    <mergeCell ref="A30:F30"/>
    <mergeCell ref="C40:F40"/>
    <mergeCell ref="A42:F42"/>
    <mergeCell ref="D31:F31"/>
    <mergeCell ref="D32:F32"/>
    <mergeCell ref="D33:F33"/>
    <mergeCell ref="D34:F34"/>
    <mergeCell ref="D35:F35"/>
    <mergeCell ref="A37:F37"/>
    <mergeCell ref="C39:F39"/>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C6B8A"/>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28.0"/>
    <col customWidth="1" min="2" max="7" width="13.0"/>
    <col customWidth="1" min="8" max="8" width="15.0"/>
    <col customWidth="1" min="9" max="16" width="8.71"/>
  </cols>
  <sheetData>
    <row r="1" ht="21.75" customHeight="1">
      <c r="A1" s="9" t="s">
        <v>61</v>
      </c>
      <c r="B1" s="4"/>
      <c r="C1" s="4"/>
      <c r="D1" s="4"/>
      <c r="E1" s="4"/>
      <c r="F1" s="4"/>
      <c r="G1" s="4"/>
      <c r="H1" s="5"/>
      <c r="I1" s="2"/>
      <c r="J1" s="2"/>
      <c r="K1" s="2"/>
      <c r="L1" s="2"/>
      <c r="M1" s="2"/>
      <c r="N1" s="2"/>
      <c r="O1" s="2"/>
      <c r="P1" s="2"/>
      <c r="Q1" s="2"/>
      <c r="R1" s="2"/>
      <c r="S1" s="2"/>
      <c r="T1" s="2"/>
      <c r="U1" s="2"/>
      <c r="V1" s="2"/>
      <c r="W1" s="2"/>
      <c r="X1" s="2"/>
      <c r="Y1" s="2"/>
      <c r="Z1" s="2"/>
    </row>
    <row r="2" ht="15.0" customHeight="1">
      <c r="A2" s="10" t="s">
        <v>62</v>
      </c>
      <c r="I2" s="2"/>
      <c r="J2" s="2"/>
      <c r="K2" s="2"/>
      <c r="L2" s="2"/>
      <c r="M2" s="2"/>
      <c r="N2" s="2"/>
      <c r="O2" s="2"/>
      <c r="P2" s="2"/>
      <c r="Q2" s="2"/>
      <c r="R2" s="2"/>
      <c r="S2" s="2"/>
      <c r="T2" s="2"/>
      <c r="U2" s="2"/>
      <c r="V2" s="2"/>
      <c r="W2" s="2"/>
      <c r="X2" s="2"/>
      <c r="Y2" s="2"/>
      <c r="Z2" s="2"/>
    </row>
    <row r="3">
      <c r="A3" s="1"/>
      <c r="B3" s="1"/>
      <c r="C3" s="1"/>
      <c r="D3" s="1"/>
      <c r="E3" s="1"/>
      <c r="F3" s="1"/>
      <c r="G3" s="1"/>
      <c r="H3" s="1"/>
      <c r="I3" s="2"/>
      <c r="J3" s="2"/>
      <c r="K3" s="2"/>
      <c r="L3" s="2"/>
      <c r="M3" s="2"/>
      <c r="N3" s="2"/>
      <c r="O3" s="2"/>
      <c r="P3" s="2"/>
      <c r="Q3" s="2"/>
      <c r="R3" s="2"/>
      <c r="S3" s="2"/>
      <c r="T3" s="2"/>
      <c r="U3" s="2"/>
      <c r="V3" s="2"/>
      <c r="W3" s="2"/>
      <c r="X3" s="2"/>
      <c r="Y3" s="2"/>
      <c r="Z3" s="2"/>
    </row>
    <row r="4" ht="15.0" customHeight="1">
      <c r="A4" s="19"/>
      <c r="B4" s="27" t="s">
        <v>63</v>
      </c>
      <c r="C4" s="27" t="s">
        <v>64</v>
      </c>
      <c r="D4" s="27" t="s">
        <v>65</v>
      </c>
      <c r="E4" s="27" t="s">
        <v>66</v>
      </c>
      <c r="F4" s="27" t="s">
        <v>67</v>
      </c>
      <c r="G4" s="27" t="s">
        <v>68</v>
      </c>
      <c r="H4" s="27" t="s">
        <v>69</v>
      </c>
      <c r="I4" s="2"/>
      <c r="J4" s="2"/>
      <c r="K4" s="2"/>
      <c r="L4" s="2"/>
      <c r="M4" s="2"/>
      <c r="N4" s="2"/>
      <c r="O4" s="2"/>
      <c r="P4" s="2"/>
      <c r="Q4" s="2"/>
      <c r="R4" s="2"/>
      <c r="S4" s="2"/>
      <c r="T4" s="2"/>
      <c r="U4" s="2"/>
      <c r="V4" s="2"/>
      <c r="W4" s="2"/>
      <c r="X4" s="2"/>
      <c r="Y4" s="2"/>
      <c r="Z4" s="2"/>
    </row>
    <row r="5" ht="15.0" customHeight="1">
      <c r="A5" s="28" t="s">
        <v>70</v>
      </c>
      <c r="B5" s="29">
        <v>13.0</v>
      </c>
      <c r="C5" s="29">
        <v>14.0</v>
      </c>
      <c r="D5" s="29">
        <v>15.0</v>
      </c>
      <c r="E5" s="29">
        <v>16.0</v>
      </c>
      <c r="F5" s="29">
        <v>17.0</v>
      </c>
      <c r="G5" s="29">
        <v>18.0</v>
      </c>
      <c r="H5" s="1"/>
      <c r="I5" s="2"/>
      <c r="J5" s="2"/>
      <c r="K5" s="2"/>
      <c r="L5" s="2"/>
      <c r="M5" s="2"/>
      <c r="N5" s="2"/>
      <c r="O5" s="2"/>
      <c r="P5" s="2"/>
      <c r="Q5" s="2"/>
      <c r="R5" s="2"/>
      <c r="S5" s="2"/>
      <c r="T5" s="2"/>
      <c r="U5" s="2"/>
      <c r="V5" s="2"/>
      <c r="W5" s="2"/>
      <c r="X5" s="2"/>
      <c r="Y5" s="2"/>
      <c r="Z5" s="2"/>
    </row>
    <row r="6">
      <c r="A6" s="1"/>
      <c r="B6" s="1"/>
      <c r="C6" s="1"/>
      <c r="D6" s="1"/>
      <c r="E6" s="1"/>
      <c r="F6" s="1"/>
      <c r="G6" s="1"/>
      <c r="H6" s="1"/>
      <c r="I6" s="2"/>
      <c r="J6" s="2"/>
      <c r="K6" s="2"/>
      <c r="L6" s="2"/>
      <c r="M6" s="2"/>
      <c r="N6" s="2"/>
      <c r="O6" s="2"/>
      <c r="P6" s="2"/>
      <c r="Q6" s="2"/>
      <c r="R6" s="2"/>
      <c r="S6" s="2"/>
      <c r="T6" s="2"/>
      <c r="U6" s="2"/>
      <c r="V6" s="2"/>
      <c r="W6" s="2"/>
      <c r="X6" s="2"/>
      <c r="Y6" s="2"/>
      <c r="Z6" s="2"/>
    </row>
    <row r="7" ht="15.0" customHeight="1">
      <c r="A7" s="30" t="s">
        <v>44</v>
      </c>
      <c r="B7" s="4"/>
      <c r="C7" s="4"/>
      <c r="D7" s="4"/>
      <c r="E7" s="4"/>
      <c r="F7" s="4"/>
      <c r="G7" s="4"/>
      <c r="H7" s="5"/>
      <c r="I7" s="2"/>
      <c r="J7" s="2"/>
      <c r="K7" s="2"/>
      <c r="L7" s="2"/>
      <c r="M7" s="2"/>
      <c r="N7" s="2"/>
      <c r="O7" s="2"/>
      <c r="P7" s="2"/>
      <c r="Q7" s="2"/>
      <c r="R7" s="2"/>
      <c r="S7" s="2"/>
      <c r="T7" s="2"/>
      <c r="U7" s="2"/>
      <c r="V7" s="2"/>
      <c r="W7" s="2"/>
      <c r="X7" s="2"/>
      <c r="Y7" s="2"/>
      <c r="Z7" s="2"/>
    </row>
    <row r="8" ht="15.0" customHeight="1">
      <c r="A8" s="12" t="s">
        <v>71</v>
      </c>
      <c r="B8" s="18">
        <f>Assumptions!B22</f>
        <v>0.85</v>
      </c>
      <c r="C8" s="18">
        <f>Assumptions!B23</f>
        <v>0.9</v>
      </c>
      <c r="D8" s="18">
        <f>Assumptions!B24</f>
        <v>0.95</v>
      </c>
      <c r="E8" s="18">
        <f>Assumptions!B25</f>
        <v>1.05</v>
      </c>
      <c r="F8" s="18">
        <f>Assumptions!B26</f>
        <v>1.5</v>
      </c>
      <c r="G8" s="18">
        <f>Assumptions!B27</f>
        <v>1.7</v>
      </c>
      <c r="H8" s="1"/>
      <c r="I8" s="2"/>
      <c r="J8" s="2"/>
      <c r="K8" s="2"/>
      <c r="L8" s="2"/>
      <c r="M8" s="2"/>
      <c r="N8" s="2"/>
      <c r="O8" s="2"/>
      <c r="P8" s="2"/>
      <c r="Q8" s="2"/>
      <c r="R8" s="2"/>
      <c r="S8" s="2"/>
      <c r="T8" s="2"/>
      <c r="U8" s="2"/>
      <c r="V8" s="2"/>
      <c r="W8" s="2"/>
      <c r="X8" s="2"/>
      <c r="Y8" s="2"/>
      <c r="Z8" s="2"/>
    </row>
    <row r="9" ht="15.0" customHeight="1">
      <c r="A9" s="12" t="s">
        <v>72</v>
      </c>
      <c r="B9" s="17">
        <f>'Monthly Data'!$F$29*Assumptions!$B$32*(B8/'Blended Summary'!$H$13)</f>
        <v>374755.5556</v>
      </c>
      <c r="C9" s="17">
        <f>'Monthly Data'!$F$29*Assumptions!$B$32*(C8/'Blended Summary'!$H$13)</f>
        <v>396800</v>
      </c>
      <c r="D9" s="17">
        <f>'Monthly Data'!$F$29*Assumptions!$B$32*(D8/'Blended Summary'!$H$13)</f>
        <v>418844.4444</v>
      </c>
      <c r="E9" s="17">
        <f>'Monthly Data'!$F$29*Assumptions!$B$32*(E8/'Blended Summary'!$H$13)</f>
        <v>462933.3333</v>
      </c>
      <c r="F9" s="17">
        <f>'Monthly Data'!$F$29*Assumptions!$B$32*(F8/'Blended Summary'!$H$13)</f>
        <v>661333.3333</v>
      </c>
      <c r="G9" s="17">
        <f>'Monthly Data'!$F$29*Assumptions!$B$32*(G8/'Blended Summary'!$H$13)</f>
        <v>749511.1111</v>
      </c>
      <c r="H9" s="17">
        <f>SUM(B9:G9)</f>
        <v>3064177.778</v>
      </c>
      <c r="I9" s="2"/>
      <c r="J9" s="2"/>
      <c r="K9" s="2"/>
      <c r="L9" s="2"/>
      <c r="M9" s="2"/>
      <c r="N9" s="2"/>
      <c r="O9" s="2"/>
      <c r="P9" s="2"/>
      <c r="Q9" s="2"/>
      <c r="R9" s="2"/>
      <c r="S9" s="2"/>
      <c r="T9" s="2"/>
      <c r="U9" s="2"/>
      <c r="V9" s="2"/>
      <c r="W9" s="2"/>
      <c r="X9" s="2"/>
      <c r="Y9" s="2"/>
      <c r="Z9" s="2"/>
    </row>
    <row r="10" ht="15.0" customHeight="1">
      <c r="A10" s="12" t="s">
        <v>73</v>
      </c>
      <c r="B10" s="31">
        <f t="array" ref="B10">TREND('Monthly Data'!$J$18:$J$29,'Monthly Data'!$B$18:$B$29,B5)*(1+Assumptions!$C$32)</f>
        <v>31.01515152</v>
      </c>
      <c r="C10" s="31">
        <f t="array" ref="C10">TREND('Monthly Data'!$J$18:$J$29,'Monthly Data'!$B$18:$B$29,C5)*(1+Assumptions!$C$32)</f>
        <v>31.81235431</v>
      </c>
      <c r="D10" s="31">
        <f t="array" ref="D10">TREND('Monthly Data'!$J$18:$J$29,'Monthly Data'!$B$18:$B$29,D5)*(1+Assumptions!$C$32)</f>
        <v>32.60955711</v>
      </c>
      <c r="E10" s="31">
        <f t="array" ref="E10">TREND('Monthly Data'!$J$18:$J$29,'Monthly Data'!$B$18:$B$29,E5)*(1+Assumptions!$C$32)</f>
        <v>33.40675991</v>
      </c>
      <c r="F10" s="31">
        <f t="array" ref="F10">TREND('Monthly Data'!$J$18:$J$29,'Monthly Data'!$B$18:$B$29,F5)*(1+Assumptions!$C$32)</f>
        <v>34.2039627</v>
      </c>
      <c r="G10" s="31">
        <f t="array" ref="G10">TREND('Monthly Data'!$J$18:$J$29,'Monthly Data'!$B$18:$B$29,G5)*(1+Assumptions!$C$32)</f>
        <v>35.0011655</v>
      </c>
      <c r="H10" s="31">
        <f>H9/H11</f>
        <v>33.30385299</v>
      </c>
      <c r="I10" s="2"/>
      <c r="J10" s="2"/>
      <c r="K10" s="2"/>
      <c r="L10" s="2"/>
      <c r="M10" s="2"/>
      <c r="N10" s="2"/>
      <c r="O10" s="2"/>
      <c r="P10" s="2"/>
      <c r="Q10" s="2"/>
      <c r="R10" s="2"/>
      <c r="S10" s="2"/>
      <c r="T10" s="2"/>
      <c r="U10" s="2"/>
      <c r="V10" s="2"/>
      <c r="W10" s="2"/>
      <c r="X10" s="2"/>
      <c r="Y10" s="2"/>
      <c r="Z10" s="2"/>
    </row>
    <row r="11" ht="15.0" customHeight="1">
      <c r="A11" s="12" t="s">
        <v>74</v>
      </c>
      <c r="B11" s="32">
        <f t="shared" ref="B11:G11" si="1">B9/B10</f>
        <v>12082.98323</v>
      </c>
      <c r="C11" s="32">
        <f t="shared" si="1"/>
        <v>12473.1416</v>
      </c>
      <c r="D11" s="32">
        <f t="shared" si="1"/>
        <v>12844.22364</v>
      </c>
      <c r="E11" s="32">
        <f t="shared" si="1"/>
        <v>13857.47479</v>
      </c>
      <c r="F11" s="32">
        <f t="shared" si="1"/>
        <v>19334.99165</v>
      </c>
      <c r="G11" s="32">
        <f t="shared" si="1"/>
        <v>21413.89009</v>
      </c>
      <c r="H11" s="32">
        <f t="shared" ref="H11:H12" si="2">SUM(B11:G11)</f>
        <v>92006.70501</v>
      </c>
      <c r="I11" s="2"/>
      <c r="J11" s="2"/>
      <c r="K11" s="2"/>
      <c r="L11" s="2"/>
      <c r="M11" s="2"/>
      <c r="N11" s="2"/>
      <c r="O11" s="2"/>
      <c r="P11" s="2"/>
      <c r="Q11" s="2"/>
      <c r="R11" s="2"/>
      <c r="S11" s="2"/>
      <c r="T11" s="2"/>
      <c r="U11" s="2"/>
      <c r="V11" s="2"/>
      <c r="W11" s="2"/>
      <c r="X11" s="2"/>
      <c r="Y11" s="2"/>
      <c r="Z11" s="2"/>
    </row>
    <row r="12" ht="15.0" customHeight="1">
      <c r="A12" s="12" t="s">
        <v>75</v>
      </c>
      <c r="B12" s="17">
        <f>B11*Assumptions!$B$5</f>
        <v>785393.9098</v>
      </c>
      <c r="C12" s="17">
        <f>C11*Assumptions!$B$5</f>
        <v>810754.2041</v>
      </c>
      <c r="D12" s="17">
        <f>D11*Assumptions!$B$5</f>
        <v>834874.5369</v>
      </c>
      <c r="E12" s="17">
        <f>E11*Assumptions!$B$5</f>
        <v>900735.8616</v>
      </c>
      <c r="F12" s="17">
        <f>F11*Assumptions!$B$5</f>
        <v>1256774.457</v>
      </c>
      <c r="G12" s="17">
        <f>G11*Assumptions!$B$5</f>
        <v>1391902.856</v>
      </c>
      <c r="H12" s="17">
        <f t="shared" si="2"/>
        <v>5980435.826</v>
      </c>
      <c r="I12" s="2"/>
      <c r="J12" s="2"/>
      <c r="K12" s="2"/>
      <c r="L12" s="2"/>
      <c r="M12" s="2"/>
      <c r="N12" s="2"/>
      <c r="O12" s="2"/>
      <c r="P12" s="2"/>
      <c r="Q12" s="2"/>
      <c r="R12" s="2"/>
      <c r="S12" s="2"/>
      <c r="T12" s="2"/>
      <c r="U12" s="2"/>
      <c r="V12" s="2"/>
      <c r="W12" s="2"/>
      <c r="X12" s="2"/>
      <c r="Y12" s="2"/>
      <c r="Z12" s="2"/>
    </row>
    <row r="13" ht="15.0" customHeight="1">
      <c r="A13" s="12" t="s">
        <v>76</v>
      </c>
      <c r="B13" s="31">
        <f>Assumptions!$B$8-B10</f>
        <v>7.984848485</v>
      </c>
      <c r="C13" s="31">
        <f>Assumptions!$B$8-C10</f>
        <v>7.187645688</v>
      </c>
      <c r="D13" s="31">
        <f>Assumptions!$B$8-D10</f>
        <v>6.39044289</v>
      </c>
      <c r="E13" s="31">
        <f>Assumptions!$B$8-E10</f>
        <v>5.593240093</v>
      </c>
      <c r="F13" s="31">
        <f>Assumptions!$B$8-F10</f>
        <v>4.796037296</v>
      </c>
      <c r="G13" s="31">
        <f>Assumptions!$B$8-G10</f>
        <v>3.998834499</v>
      </c>
      <c r="H13" s="1"/>
      <c r="I13" s="2"/>
      <c r="J13" s="2"/>
      <c r="K13" s="2"/>
      <c r="L13" s="2"/>
      <c r="M13" s="2"/>
      <c r="N13" s="2"/>
      <c r="O13" s="2"/>
      <c r="P13" s="2"/>
      <c r="Q13" s="2"/>
      <c r="R13" s="2"/>
      <c r="S13" s="2"/>
      <c r="T13" s="2"/>
      <c r="U13" s="2"/>
      <c r="V13" s="2"/>
      <c r="W13" s="2"/>
      <c r="X13" s="2"/>
      <c r="Y13" s="2"/>
      <c r="Z13" s="2"/>
    </row>
    <row r="14" ht="15.0" customHeight="1">
      <c r="A14" s="12" t="s">
        <v>77</v>
      </c>
      <c r="B14" s="17">
        <f t="shared" ref="B14:G14" si="3">B13*B11</f>
        <v>96480.79032</v>
      </c>
      <c r="C14" s="17">
        <f t="shared" si="3"/>
        <v>89652.52244</v>
      </c>
      <c r="D14" s="17">
        <f t="shared" si="3"/>
        <v>82080.27767</v>
      </c>
      <c r="E14" s="17">
        <f t="shared" si="3"/>
        <v>77508.1836</v>
      </c>
      <c r="F14" s="17">
        <f t="shared" si="3"/>
        <v>92731.34108</v>
      </c>
      <c r="G14" s="17">
        <f t="shared" si="3"/>
        <v>85630.60245</v>
      </c>
      <c r="H14" s="17">
        <f>SUM(B14:G14)</f>
        <v>524083.7176</v>
      </c>
      <c r="I14" s="2"/>
      <c r="J14" s="2"/>
      <c r="K14" s="2"/>
      <c r="L14" s="2"/>
      <c r="M14" s="2"/>
      <c r="N14" s="2"/>
      <c r="O14" s="2"/>
      <c r="P14" s="2"/>
      <c r="Q14" s="2"/>
      <c r="R14" s="2"/>
      <c r="S14" s="2"/>
      <c r="T14" s="2"/>
      <c r="U14" s="2"/>
      <c r="V14" s="2"/>
      <c r="W14" s="2"/>
      <c r="X14" s="2"/>
      <c r="Y14" s="2"/>
      <c r="Z14" s="2"/>
    </row>
    <row r="15">
      <c r="A15" s="1"/>
      <c r="B15" s="1"/>
      <c r="C15" s="1"/>
      <c r="D15" s="1"/>
      <c r="E15" s="1"/>
      <c r="F15" s="1"/>
      <c r="G15" s="1"/>
      <c r="H15" s="1"/>
      <c r="I15" s="2"/>
      <c r="J15" s="2"/>
      <c r="K15" s="2"/>
      <c r="L15" s="2"/>
      <c r="M15" s="2"/>
      <c r="N15" s="2"/>
      <c r="O15" s="2"/>
      <c r="P15" s="2"/>
      <c r="Q15" s="2"/>
      <c r="R15" s="2"/>
      <c r="S15" s="2"/>
      <c r="T15" s="2"/>
      <c r="U15" s="2"/>
      <c r="V15" s="2"/>
      <c r="W15" s="2"/>
      <c r="X15" s="2"/>
      <c r="Y15" s="2"/>
      <c r="Z15" s="2"/>
    </row>
    <row r="16" ht="15.0" customHeight="1">
      <c r="A16" s="30" t="s">
        <v>46</v>
      </c>
      <c r="B16" s="4"/>
      <c r="C16" s="4"/>
      <c r="D16" s="4"/>
      <c r="E16" s="4"/>
      <c r="F16" s="4"/>
      <c r="G16" s="4"/>
      <c r="H16" s="5"/>
      <c r="I16" s="2"/>
      <c r="J16" s="2"/>
      <c r="K16" s="2"/>
      <c r="L16" s="2"/>
      <c r="M16" s="2"/>
      <c r="N16" s="2"/>
      <c r="O16" s="2"/>
      <c r="P16" s="2"/>
      <c r="Q16" s="2"/>
      <c r="R16" s="2"/>
      <c r="S16" s="2"/>
      <c r="T16" s="2"/>
      <c r="U16" s="2"/>
      <c r="V16" s="2"/>
      <c r="W16" s="2"/>
      <c r="X16" s="2"/>
      <c r="Y16" s="2"/>
      <c r="Z16" s="2"/>
    </row>
    <row r="17" ht="15.0" customHeight="1">
      <c r="A17" s="12" t="s">
        <v>71</v>
      </c>
      <c r="B17" s="18">
        <f>Assumptions!B22</f>
        <v>0.85</v>
      </c>
      <c r="C17" s="18">
        <f>Assumptions!B23</f>
        <v>0.9</v>
      </c>
      <c r="D17" s="18">
        <f>Assumptions!B24</f>
        <v>0.95</v>
      </c>
      <c r="E17" s="18">
        <f>Assumptions!B25</f>
        <v>1.05</v>
      </c>
      <c r="F17" s="18">
        <f>Assumptions!B26</f>
        <v>1.5</v>
      </c>
      <c r="G17" s="18">
        <f>Assumptions!B27</f>
        <v>1.7</v>
      </c>
      <c r="H17" s="1"/>
      <c r="I17" s="2"/>
      <c r="J17" s="2"/>
      <c r="K17" s="2"/>
      <c r="L17" s="2"/>
      <c r="M17" s="2"/>
      <c r="N17" s="2"/>
      <c r="O17" s="2"/>
      <c r="P17" s="2"/>
      <c r="Q17" s="2"/>
      <c r="R17" s="2"/>
      <c r="S17" s="2"/>
      <c r="T17" s="2"/>
      <c r="U17" s="2"/>
      <c r="V17" s="2"/>
      <c r="W17" s="2"/>
      <c r="X17" s="2"/>
      <c r="Y17" s="2"/>
      <c r="Z17" s="2"/>
    </row>
    <row r="18" ht="15.0" customHeight="1">
      <c r="A18" s="12" t="s">
        <v>72</v>
      </c>
      <c r="B18" s="17">
        <f>'Monthly Data'!$F$17*Assumptions!$B$33*(B17/'Blended Summary'!$H$13)</f>
        <v>158789.4444</v>
      </c>
      <c r="C18" s="17">
        <f>'Monthly Data'!$F$17*Assumptions!$B$33*(C17/'Blended Summary'!$H$13)</f>
        <v>168130</v>
      </c>
      <c r="D18" s="17">
        <f>'Monthly Data'!$F$17*Assumptions!$B$33*(D17/'Blended Summary'!$H$13)</f>
        <v>177470.5556</v>
      </c>
      <c r="E18" s="17">
        <f>'Monthly Data'!$F$17*Assumptions!$B$33*(E17/'Blended Summary'!$H$13)</f>
        <v>196151.6667</v>
      </c>
      <c r="F18" s="17">
        <f>'Monthly Data'!$F$17*Assumptions!$B$33*(F17/'Blended Summary'!$H$13)</f>
        <v>280216.6667</v>
      </c>
      <c r="G18" s="17">
        <f>'Monthly Data'!$F$17*Assumptions!$B$33*(G17/'Blended Summary'!$H$13)</f>
        <v>317578.8889</v>
      </c>
      <c r="H18" s="17">
        <f>SUM(B18:G18)</f>
        <v>1298337.222</v>
      </c>
      <c r="I18" s="2"/>
      <c r="J18" s="2"/>
      <c r="K18" s="2"/>
      <c r="L18" s="2"/>
      <c r="M18" s="2"/>
      <c r="N18" s="2"/>
      <c r="O18" s="2"/>
      <c r="P18" s="2"/>
      <c r="Q18" s="2"/>
      <c r="R18" s="2"/>
      <c r="S18" s="2"/>
      <c r="T18" s="2"/>
      <c r="U18" s="2"/>
      <c r="V18" s="2"/>
      <c r="W18" s="2"/>
      <c r="X18" s="2"/>
      <c r="Y18" s="2"/>
      <c r="Z18" s="2"/>
    </row>
    <row r="19" ht="15.0" customHeight="1">
      <c r="A19" s="12" t="s">
        <v>73</v>
      </c>
      <c r="B19" s="31">
        <f t="array" ref="B19">TREND('Monthly Data'!$J$6:$J$17,'Monthly Data'!$B$6:$B$17,B5)*(1+Assumptions!$C$33)</f>
        <v>16.31818182</v>
      </c>
      <c r="C19" s="31">
        <f t="array" ref="C19">TREND('Monthly Data'!$J$6:$J$17,'Monthly Data'!$B$6:$B$17,C5)*(1+Assumptions!$C$33)</f>
        <v>16.63636364</v>
      </c>
      <c r="D19" s="31">
        <f t="array" ref="D19">TREND('Monthly Data'!$J$6:$J$17,'Monthly Data'!$B$6:$B$17,D5)*(1+Assumptions!$C$33)</f>
        <v>16.95454545</v>
      </c>
      <c r="E19" s="31">
        <f t="array" ref="E19">TREND('Monthly Data'!$J$6:$J$17,'Monthly Data'!$B$6:$B$17,E5)*(1+Assumptions!$C$33)</f>
        <v>17.27272727</v>
      </c>
      <c r="F19" s="31">
        <f t="array" ref="F19">TREND('Monthly Data'!$J$6:$J$17,'Monthly Data'!$B$6:$B$17,F5)*(1+Assumptions!$C$33)</f>
        <v>17.59090909</v>
      </c>
      <c r="G19" s="31">
        <f t="array" ref="G19">TREND('Monthly Data'!$J$6:$J$17,'Monthly Data'!$B$6:$B$17,G5)*(1+Assumptions!$C$33)</f>
        <v>17.90909091</v>
      </c>
      <c r="H19" s="31">
        <f>H18/H20</f>
        <v>17.23691857</v>
      </c>
      <c r="I19" s="2"/>
      <c r="J19" s="2"/>
      <c r="K19" s="2"/>
      <c r="L19" s="2"/>
      <c r="M19" s="2"/>
      <c r="N19" s="2"/>
      <c r="O19" s="2"/>
      <c r="P19" s="2"/>
      <c r="Q19" s="2"/>
      <c r="R19" s="2"/>
      <c r="S19" s="2"/>
      <c r="T19" s="2"/>
      <c r="U19" s="2"/>
      <c r="V19" s="2"/>
      <c r="W19" s="2"/>
      <c r="X19" s="2"/>
      <c r="Y19" s="2"/>
      <c r="Z19" s="2"/>
    </row>
    <row r="20" ht="15.0" customHeight="1">
      <c r="A20" s="12" t="s">
        <v>74</v>
      </c>
      <c r="B20" s="32">
        <f t="shared" ref="B20:G20" si="4">B18/B19</f>
        <v>9730.829465</v>
      </c>
      <c r="C20" s="32">
        <f t="shared" si="4"/>
        <v>10106.17486</v>
      </c>
      <c r="D20" s="32">
        <f t="shared" si="4"/>
        <v>10467.43223</v>
      </c>
      <c r="E20" s="32">
        <f t="shared" si="4"/>
        <v>11356.14912</v>
      </c>
      <c r="F20" s="32">
        <f t="shared" si="4"/>
        <v>15929.62963</v>
      </c>
      <c r="G20" s="32">
        <f t="shared" si="4"/>
        <v>17732.83136</v>
      </c>
      <c r="H20" s="32">
        <f t="shared" ref="H20:H21" si="5">SUM(B20:G20)</f>
        <v>75323.04667</v>
      </c>
      <c r="I20" s="2"/>
      <c r="J20" s="2"/>
      <c r="K20" s="2"/>
      <c r="L20" s="2"/>
      <c r="M20" s="2"/>
      <c r="N20" s="2"/>
      <c r="O20" s="2"/>
      <c r="P20" s="2"/>
      <c r="Q20" s="2"/>
      <c r="R20" s="2"/>
      <c r="S20" s="2"/>
      <c r="T20" s="2"/>
      <c r="U20" s="2"/>
      <c r="V20" s="2"/>
      <c r="W20" s="2"/>
      <c r="X20" s="2"/>
      <c r="Y20" s="2"/>
      <c r="Z20" s="2"/>
    </row>
    <row r="21" ht="15.0" customHeight="1">
      <c r="A21" s="12" t="s">
        <v>75</v>
      </c>
      <c r="B21" s="17">
        <f>B20*Assumptions!$B$5</f>
        <v>632503.9152</v>
      </c>
      <c r="C21" s="17">
        <f>C20*Assumptions!$B$5</f>
        <v>656901.3661</v>
      </c>
      <c r="D21" s="17">
        <f>D20*Assumptions!$B$5</f>
        <v>680383.095</v>
      </c>
      <c r="E21" s="17">
        <f>E20*Assumptions!$B$5</f>
        <v>738149.693</v>
      </c>
      <c r="F21" s="17">
        <f>F20*Assumptions!$B$5</f>
        <v>1035425.926</v>
      </c>
      <c r="G21" s="17">
        <f>G20*Assumptions!$B$5</f>
        <v>1152634.038</v>
      </c>
      <c r="H21" s="17">
        <f t="shared" si="5"/>
        <v>4895998.034</v>
      </c>
      <c r="I21" s="2"/>
      <c r="J21" s="2"/>
      <c r="K21" s="2"/>
      <c r="L21" s="2"/>
      <c r="M21" s="2"/>
      <c r="N21" s="2"/>
      <c r="O21" s="2"/>
      <c r="P21" s="2"/>
      <c r="Q21" s="2"/>
      <c r="R21" s="2"/>
      <c r="S21" s="2"/>
      <c r="T21" s="2"/>
      <c r="U21" s="2"/>
      <c r="V21" s="2"/>
      <c r="W21" s="2"/>
      <c r="X21" s="2"/>
      <c r="Y21" s="2"/>
      <c r="Z21" s="2"/>
    </row>
    <row r="22" ht="15.0" customHeight="1">
      <c r="A22" s="12" t="s">
        <v>76</v>
      </c>
      <c r="B22" s="31">
        <f>Assumptions!$B$8-B19</f>
        <v>22.68181818</v>
      </c>
      <c r="C22" s="31">
        <f>Assumptions!$B$8-C19</f>
        <v>22.36363636</v>
      </c>
      <c r="D22" s="31">
        <f>Assumptions!$B$8-D19</f>
        <v>22.04545455</v>
      </c>
      <c r="E22" s="31">
        <f>Assumptions!$B$8-E19</f>
        <v>21.72727273</v>
      </c>
      <c r="F22" s="31">
        <f>Assumptions!$B$8-F19</f>
        <v>21.40909091</v>
      </c>
      <c r="G22" s="31">
        <f>Assumptions!$B$8-G19</f>
        <v>21.09090909</v>
      </c>
      <c r="H22" s="1"/>
      <c r="I22" s="2"/>
      <c r="J22" s="2"/>
      <c r="K22" s="2"/>
      <c r="L22" s="2"/>
      <c r="M22" s="2"/>
      <c r="N22" s="2"/>
      <c r="O22" s="2"/>
      <c r="P22" s="2"/>
      <c r="Q22" s="2"/>
      <c r="R22" s="2"/>
      <c r="S22" s="2"/>
      <c r="T22" s="2"/>
      <c r="U22" s="2"/>
      <c r="V22" s="2"/>
      <c r="W22" s="2"/>
      <c r="X22" s="2"/>
      <c r="Y22" s="2"/>
      <c r="Z22" s="2"/>
    </row>
    <row r="23" ht="15.0" customHeight="1">
      <c r="A23" s="12" t="s">
        <v>77</v>
      </c>
      <c r="B23" s="17">
        <f t="shared" ref="B23:G23" si="6">B22*B20</f>
        <v>220712.9047</v>
      </c>
      <c r="C23" s="17">
        <f t="shared" si="6"/>
        <v>226010.8197</v>
      </c>
      <c r="D23" s="17">
        <f t="shared" si="6"/>
        <v>230759.3015</v>
      </c>
      <c r="E23" s="17">
        <f t="shared" si="6"/>
        <v>246738.1491</v>
      </c>
      <c r="F23" s="17">
        <f t="shared" si="6"/>
        <v>341038.8889</v>
      </c>
      <c r="G23" s="17">
        <f t="shared" si="6"/>
        <v>374001.5341</v>
      </c>
      <c r="H23" s="17">
        <f>SUM(B23:G23)</f>
        <v>1639261.598</v>
      </c>
      <c r="I23" s="2"/>
      <c r="J23" s="2"/>
      <c r="K23" s="2"/>
      <c r="L23" s="2"/>
      <c r="M23" s="2"/>
      <c r="N23" s="2"/>
      <c r="O23" s="2"/>
      <c r="P23" s="2"/>
      <c r="Q23" s="2"/>
      <c r="R23" s="2"/>
      <c r="S23" s="2"/>
      <c r="T23" s="2"/>
      <c r="U23" s="2"/>
      <c r="V23" s="2"/>
      <c r="W23" s="2"/>
      <c r="X23" s="2"/>
      <c r="Y23" s="2"/>
      <c r="Z23" s="2"/>
    </row>
    <row r="24" ht="15.75" customHeight="1">
      <c r="A24" s="1"/>
      <c r="B24" s="1"/>
      <c r="C24" s="1"/>
      <c r="D24" s="1"/>
      <c r="E24" s="1"/>
      <c r="F24" s="1"/>
      <c r="G24" s="1"/>
      <c r="H24" s="1"/>
      <c r="I24" s="2"/>
      <c r="J24" s="2"/>
      <c r="K24" s="2"/>
      <c r="L24" s="2"/>
      <c r="M24" s="2"/>
      <c r="N24" s="2"/>
      <c r="O24" s="2"/>
      <c r="P24" s="2"/>
      <c r="Q24" s="2"/>
      <c r="R24" s="2"/>
      <c r="S24" s="2"/>
      <c r="T24" s="2"/>
      <c r="U24" s="2"/>
      <c r="V24" s="2"/>
      <c r="W24" s="2"/>
      <c r="X24" s="2"/>
      <c r="Y24" s="2"/>
      <c r="Z24" s="2"/>
    </row>
    <row r="25" ht="15.0" customHeight="1">
      <c r="A25" s="30" t="s">
        <v>48</v>
      </c>
      <c r="B25" s="4"/>
      <c r="C25" s="4"/>
      <c r="D25" s="4"/>
      <c r="E25" s="4"/>
      <c r="F25" s="4"/>
      <c r="G25" s="4"/>
      <c r="H25" s="5"/>
      <c r="I25" s="2"/>
      <c r="J25" s="2"/>
      <c r="K25" s="2"/>
      <c r="L25" s="2"/>
      <c r="M25" s="2"/>
      <c r="N25" s="2"/>
      <c r="O25" s="2"/>
      <c r="P25" s="2"/>
      <c r="Q25" s="2"/>
      <c r="R25" s="2"/>
      <c r="S25" s="2"/>
      <c r="T25" s="2"/>
      <c r="U25" s="2"/>
      <c r="V25" s="2"/>
      <c r="W25" s="2"/>
      <c r="X25" s="2"/>
      <c r="Y25" s="2"/>
      <c r="Z25" s="2"/>
    </row>
    <row r="26" ht="15.0" customHeight="1">
      <c r="A26" s="12" t="s">
        <v>71</v>
      </c>
      <c r="B26" s="18">
        <f>Assumptions!B22</f>
        <v>0.85</v>
      </c>
      <c r="C26" s="18">
        <f>Assumptions!B23</f>
        <v>0.9</v>
      </c>
      <c r="D26" s="18">
        <f>Assumptions!B24</f>
        <v>0.95</v>
      </c>
      <c r="E26" s="18">
        <f>Assumptions!B25</f>
        <v>1.05</v>
      </c>
      <c r="F26" s="18">
        <f>Assumptions!B26</f>
        <v>1.5</v>
      </c>
      <c r="G26" s="18">
        <f>Assumptions!B27</f>
        <v>1.7</v>
      </c>
      <c r="H26" s="1"/>
      <c r="I26" s="2"/>
      <c r="J26" s="2"/>
      <c r="K26" s="2"/>
      <c r="L26" s="2"/>
      <c r="M26" s="2"/>
      <c r="N26" s="2"/>
      <c r="O26" s="2"/>
      <c r="P26" s="2"/>
      <c r="Q26" s="2"/>
      <c r="R26" s="2"/>
      <c r="S26" s="2"/>
      <c r="T26" s="2"/>
      <c r="U26" s="2"/>
      <c r="V26" s="2"/>
      <c r="W26" s="2"/>
      <c r="X26" s="2"/>
      <c r="Y26" s="2"/>
      <c r="Z26" s="2"/>
    </row>
    <row r="27" ht="15.0" customHeight="1">
      <c r="A27" s="12" t="s">
        <v>72</v>
      </c>
      <c r="B27" s="17">
        <f>'Monthly Data'!$F$41*Assumptions!$B$34*(B26/'Blended Summary'!$H$13)</f>
        <v>55372.77778</v>
      </c>
      <c r="C27" s="17">
        <f>'Monthly Data'!$F$41*Assumptions!$B$34*(C26/'Blended Summary'!$H$13)</f>
        <v>58630</v>
      </c>
      <c r="D27" s="17">
        <f>'Monthly Data'!$F$41*Assumptions!$B$34*(D26/'Blended Summary'!$H$13)</f>
        <v>61887.22222</v>
      </c>
      <c r="E27" s="17">
        <f>'Monthly Data'!$F$41*Assumptions!$B$34*(E26/'Blended Summary'!$H$13)</f>
        <v>68401.66667</v>
      </c>
      <c r="F27" s="17">
        <f>'Monthly Data'!$F$41*Assumptions!$B$34*(F26/'Blended Summary'!$H$13)</f>
        <v>97716.66667</v>
      </c>
      <c r="G27" s="17">
        <f>'Monthly Data'!$F$41*Assumptions!$B$34*(G26/'Blended Summary'!$H$13)</f>
        <v>110745.5556</v>
      </c>
      <c r="H27" s="17">
        <f>SUM(B27:G27)</f>
        <v>452753.8889</v>
      </c>
      <c r="I27" s="2"/>
      <c r="J27" s="2"/>
      <c r="K27" s="2"/>
      <c r="L27" s="2"/>
      <c r="M27" s="2"/>
      <c r="N27" s="2"/>
      <c r="O27" s="2"/>
      <c r="P27" s="2"/>
      <c r="Q27" s="2"/>
      <c r="R27" s="2"/>
      <c r="S27" s="2"/>
      <c r="T27" s="2"/>
      <c r="U27" s="2"/>
      <c r="V27" s="2"/>
      <c r="W27" s="2"/>
      <c r="X27" s="2"/>
      <c r="Y27" s="2"/>
      <c r="Z27" s="2"/>
    </row>
    <row r="28" ht="15.0" customHeight="1">
      <c r="A28" s="12" t="s">
        <v>73</v>
      </c>
      <c r="B28" s="31">
        <f t="array" ref="B28">TREND('Monthly Data'!$J$30:$J$41,'Monthly Data'!$B$30:$B$41,B5)*(1+Assumptions!$C$34)</f>
        <v>25.10181818</v>
      </c>
      <c r="C28" s="31">
        <f t="array" ref="C28">TREND('Monthly Data'!$J$30:$J$41,'Monthly Data'!$B$30:$B$41,C5)*(1+Assumptions!$C$34)</f>
        <v>23.3420979</v>
      </c>
      <c r="D28" s="31">
        <f t="array" ref="D28">TREND('Monthly Data'!$J$30:$J$41,'Monthly Data'!$B$30:$B$41,D5)*(1+Assumptions!$C$34)</f>
        <v>21.58237762</v>
      </c>
      <c r="E28" s="31">
        <f t="array" ref="E28">TREND('Monthly Data'!$J$30:$J$41,'Monthly Data'!$B$30:$B$41,E5)*(1+Assumptions!$C$34)</f>
        <v>19.82265734</v>
      </c>
      <c r="F28" s="31">
        <f t="array" ref="F28">TREND('Monthly Data'!$J$30:$J$41,'Monthly Data'!$B$30:$B$41,F5)*(1+Assumptions!$C$34)</f>
        <v>18.06293706</v>
      </c>
      <c r="G28" s="31">
        <f t="array" ref="G28">TREND('Monthly Data'!$J$30:$J$41,'Monthly Data'!$B$30:$B$41,G5)*(1+Assumptions!$C$34)</f>
        <v>16.30321678</v>
      </c>
      <c r="H28" s="31">
        <f>H27/H29</f>
        <v>19.48290462</v>
      </c>
      <c r="I28" s="2"/>
      <c r="J28" s="2"/>
      <c r="K28" s="2"/>
      <c r="L28" s="2"/>
      <c r="M28" s="2"/>
      <c r="N28" s="2"/>
      <c r="O28" s="2"/>
      <c r="P28" s="2"/>
      <c r="Q28" s="2"/>
      <c r="R28" s="2"/>
      <c r="S28" s="2"/>
      <c r="T28" s="2"/>
      <c r="U28" s="2"/>
      <c r="V28" s="2"/>
      <c r="W28" s="2"/>
      <c r="X28" s="2"/>
      <c r="Y28" s="2"/>
      <c r="Z28" s="2"/>
    </row>
    <row r="29" ht="15.0" customHeight="1">
      <c r="A29" s="12" t="s">
        <v>74</v>
      </c>
      <c r="B29" s="32">
        <f t="shared" ref="B29:G29" si="7">B27/B28</f>
        <v>2205.926972</v>
      </c>
      <c r="C29" s="32">
        <f t="shared" si="7"/>
        <v>2511.770803</v>
      </c>
      <c r="D29" s="32">
        <f t="shared" si="7"/>
        <v>2867.48862</v>
      </c>
      <c r="E29" s="32">
        <f t="shared" si="7"/>
        <v>3450.68098</v>
      </c>
      <c r="F29" s="32">
        <f t="shared" si="7"/>
        <v>5409.78836</v>
      </c>
      <c r="G29" s="32">
        <f t="shared" si="7"/>
        <v>6792.865299</v>
      </c>
      <c r="H29" s="32">
        <f t="shared" ref="H29:H30" si="8">SUM(B29:G29)</f>
        <v>23238.52103</v>
      </c>
      <c r="I29" s="2"/>
      <c r="J29" s="2"/>
      <c r="K29" s="2"/>
      <c r="L29" s="2"/>
      <c r="M29" s="2"/>
      <c r="N29" s="2"/>
      <c r="O29" s="2"/>
      <c r="P29" s="2"/>
      <c r="Q29" s="2"/>
      <c r="R29" s="2"/>
      <c r="S29" s="2"/>
      <c r="T29" s="2"/>
      <c r="U29" s="2"/>
      <c r="V29" s="2"/>
      <c r="W29" s="2"/>
      <c r="X29" s="2"/>
      <c r="Y29" s="2"/>
      <c r="Z29" s="2"/>
    </row>
    <row r="30" ht="15.0" customHeight="1">
      <c r="A30" s="12" t="s">
        <v>75</v>
      </c>
      <c r="B30" s="17">
        <f>B29*Assumptions!$B$5</f>
        <v>143385.2532</v>
      </c>
      <c r="C30" s="17">
        <f>C29*Assumptions!$B$5</f>
        <v>163265.1022</v>
      </c>
      <c r="D30" s="17">
        <f>D29*Assumptions!$B$5</f>
        <v>186386.7603</v>
      </c>
      <c r="E30" s="17">
        <f>E29*Assumptions!$B$5</f>
        <v>224294.2637</v>
      </c>
      <c r="F30" s="17">
        <f>F29*Assumptions!$B$5</f>
        <v>351636.2434</v>
      </c>
      <c r="G30" s="17">
        <f>G29*Assumptions!$B$5</f>
        <v>441536.2445</v>
      </c>
      <c r="H30" s="17">
        <f t="shared" si="8"/>
        <v>1510503.867</v>
      </c>
      <c r="I30" s="2"/>
      <c r="J30" s="2"/>
      <c r="K30" s="2"/>
      <c r="L30" s="2"/>
      <c r="M30" s="2"/>
      <c r="N30" s="2"/>
      <c r="O30" s="2"/>
      <c r="P30" s="2"/>
      <c r="Q30" s="2"/>
      <c r="R30" s="2"/>
      <c r="S30" s="2"/>
      <c r="T30" s="2"/>
      <c r="U30" s="2"/>
      <c r="V30" s="2"/>
      <c r="W30" s="2"/>
      <c r="X30" s="2"/>
      <c r="Y30" s="2"/>
      <c r="Z30" s="2"/>
    </row>
    <row r="31" ht="15.0" customHeight="1">
      <c r="A31" s="12" t="s">
        <v>76</v>
      </c>
      <c r="B31" s="31">
        <f>Assumptions!$B$8-B28</f>
        <v>13.89818182</v>
      </c>
      <c r="C31" s="31">
        <f>Assumptions!$B$8-C28</f>
        <v>15.6579021</v>
      </c>
      <c r="D31" s="31">
        <f>Assumptions!$B$8-D28</f>
        <v>17.41762238</v>
      </c>
      <c r="E31" s="31">
        <f>Assumptions!$B$8-E28</f>
        <v>19.17734266</v>
      </c>
      <c r="F31" s="31">
        <f>Assumptions!$B$8-F28</f>
        <v>20.93706294</v>
      </c>
      <c r="G31" s="31">
        <f>Assumptions!$B$8-G28</f>
        <v>22.69678322</v>
      </c>
      <c r="H31" s="1"/>
      <c r="I31" s="2"/>
      <c r="J31" s="2"/>
      <c r="K31" s="2"/>
      <c r="L31" s="2"/>
      <c r="M31" s="2"/>
      <c r="N31" s="2"/>
      <c r="O31" s="2"/>
      <c r="P31" s="2"/>
      <c r="Q31" s="2"/>
      <c r="R31" s="2"/>
      <c r="S31" s="2"/>
      <c r="T31" s="2"/>
      <c r="U31" s="2"/>
      <c r="V31" s="2"/>
      <c r="W31" s="2"/>
      <c r="X31" s="2"/>
      <c r="Y31" s="2"/>
      <c r="Z31" s="2"/>
    </row>
    <row r="32" ht="15.0" customHeight="1">
      <c r="A32" s="12" t="s">
        <v>77</v>
      </c>
      <c r="B32" s="17">
        <f t="shared" ref="B32:G32" si="9">B31*B29</f>
        <v>30658.37414</v>
      </c>
      <c r="C32" s="17">
        <f t="shared" si="9"/>
        <v>39329.06133</v>
      </c>
      <c r="D32" s="17">
        <f t="shared" si="9"/>
        <v>49944.83395</v>
      </c>
      <c r="E32" s="17">
        <f t="shared" si="9"/>
        <v>66174.89156</v>
      </c>
      <c r="F32" s="17">
        <f t="shared" si="9"/>
        <v>113265.0794</v>
      </c>
      <c r="G32" s="17">
        <f t="shared" si="9"/>
        <v>154176.1911</v>
      </c>
      <c r="H32" s="17">
        <f>SUM(B32:G32)</f>
        <v>453548.4315</v>
      </c>
      <c r="I32" s="2"/>
      <c r="J32" s="2"/>
      <c r="K32" s="2"/>
      <c r="L32" s="2"/>
      <c r="M32" s="2"/>
      <c r="N32" s="2"/>
      <c r="O32" s="2"/>
      <c r="P32" s="2"/>
      <c r="Q32" s="2"/>
      <c r="R32" s="2"/>
      <c r="S32" s="2"/>
      <c r="T32" s="2"/>
      <c r="U32" s="2"/>
      <c r="V32" s="2"/>
      <c r="W32" s="2"/>
      <c r="X32" s="2"/>
      <c r="Y32" s="2"/>
      <c r="Z32" s="2"/>
    </row>
    <row r="33" ht="15.75" customHeight="1">
      <c r="A33" s="1"/>
      <c r="B33" s="1"/>
      <c r="C33" s="1"/>
      <c r="D33" s="1"/>
      <c r="E33" s="1"/>
      <c r="F33" s="1"/>
      <c r="G33" s="1"/>
      <c r="H33" s="1"/>
      <c r="I33" s="2"/>
      <c r="J33" s="2"/>
      <c r="K33" s="2"/>
      <c r="L33" s="2"/>
      <c r="M33" s="2"/>
      <c r="N33" s="2"/>
      <c r="O33" s="2"/>
      <c r="P33" s="2"/>
      <c r="Q33" s="2"/>
      <c r="R33" s="2"/>
      <c r="S33" s="2"/>
      <c r="T33" s="2"/>
      <c r="U33" s="2"/>
      <c r="V33" s="2"/>
      <c r="W33" s="2"/>
      <c r="X33" s="2"/>
      <c r="Y33" s="2"/>
      <c r="Z33" s="2"/>
    </row>
    <row r="34" ht="15.0" customHeight="1">
      <c r="A34" s="30" t="s">
        <v>50</v>
      </c>
      <c r="B34" s="4"/>
      <c r="C34" s="4"/>
      <c r="D34" s="4"/>
      <c r="E34" s="4"/>
      <c r="F34" s="4"/>
      <c r="G34" s="4"/>
      <c r="H34" s="5"/>
      <c r="I34" s="2"/>
      <c r="J34" s="2"/>
      <c r="K34" s="2"/>
      <c r="L34" s="2"/>
      <c r="M34" s="2"/>
      <c r="N34" s="2"/>
      <c r="O34" s="2"/>
      <c r="P34" s="2"/>
      <c r="Q34" s="2"/>
      <c r="R34" s="2"/>
      <c r="S34" s="2"/>
      <c r="T34" s="2"/>
      <c r="U34" s="2"/>
      <c r="V34" s="2"/>
      <c r="W34" s="2"/>
      <c r="X34" s="2"/>
      <c r="Y34" s="2"/>
      <c r="Z34" s="2"/>
    </row>
    <row r="35" ht="15.0" customHeight="1">
      <c r="A35" s="12" t="s">
        <v>71</v>
      </c>
      <c r="B35" s="18">
        <f>Assumptions!B22</f>
        <v>0.85</v>
      </c>
      <c r="C35" s="18">
        <f>Assumptions!B23</f>
        <v>0.9</v>
      </c>
      <c r="D35" s="18">
        <f>Assumptions!B24</f>
        <v>0.95</v>
      </c>
      <c r="E35" s="18">
        <f>Assumptions!B25</f>
        <v>1.05</v>
      </c>
      <c r="F35" s="18">
        <f>Assumptions!B26</f>
        <v>1.5</v>
      </c>
      <c r="G35" s="18">
        <f>Assumptions!B27</f>
        <v>1.7</v>
      </c>
      <c r="H35" s="1"/>
      <c r="I35" s="2"/>
      <c r="J35" s="2"/>
      <c r="K35" s="2"/>
      <c r="L35" s="2"/>
      <c r="M35" s="2"/>
      <c r="N35" s="2"/>
      <c r="O35" s="2"/>
      <c r="P35" s="2"/>
      <c r="Q35" s="2"/>
      <c r="R35" s="2"/>
      <c r="S35" s="2"/>
      <c r="T35" s="2"/>
      <c r="U35" s="2"/>
      <c r="V35" s="2"/>
      <c r="W35" s="2"/>
      <c r="X35" s="2"/>
      <c r="Y35" s="2"/>
      <c r="Z35" s="2"/>
    </row>
    <row r="36" ht="15.0" customHeight="1">
      <c r="A36" s="12" t="s">
        <v>72</v>
      </c>
      <c r="B36" s="17">
        <f>'Monthly Data'!$F$5*Assumptions!$B$35*(B35/'Blended Summary'!$H$13)</f>
        <v>96333.33333</v>
      </c>
      <c r="C36" s="17">
        <f>'Monthly Data'!$F$5*Assumptions!$B$35*(C35/'Blended Summary'!$H$13)</f>
        <v>102000</v>
      </c>
      <c r="D36" s="17">
        <f>'Monthly Data'!$F$5*Assumptions!$B$35*(D35/'Blended Summary'!$H$13)</f>
        <v>107666.6667</v>
      </c>
      <c r="E36" s="17">
        <f>'Monthly Data'!$F$5*Assumptions!$B$35*(E35/'Blended Summary'!$H$13)</f>
        <v>119000</v>
      </c>
      <c r="F36" s="17">
        <f>'Monthly Data'!$F$5*Assumptions!$B$35*(F35/'Blended Summary'!$H$13)</f>
        <v>170000</v>
      </c>
      <c r="G36" s="17">
        <f>'Monthly Data'!$F$5*Assumptions!$B$35*(G35/'Blended Summary'!$H$13)</f>
        <v>192666.6667</v>
      </c>
      <c r="H36" s="17">
        <f>SUM(B36:G36)</f>
        <v>787666.6667</v>
      </c>
      <c r="I36" s="2"/>
      <c r="J36" s="2"/>
      <c r="K36" s="2"/>
      <c r="L36" s="2"/>
      <c r="M36" s="2"/>
      <c r="N36" s="2"/>
      <c r="O36" s="2"/>
      <c r="P36" s="2"/>
      <c r="Q36" s="2"/>
      <c r="R36" s="2"/>
      <c r="S36" s="2"/>
      <c r="T36" s="2"/>
      <c r="U36" s="2"/>
      <c r="V36" s="2"/>
      <c r="W36" s="2"/>
      <c r="X36" s="2"/>
      <c r="Y36" s="2"/>
      <c r="Z36" s="2"/>
    </row>
    <row r="37" ht="15.0" customHeight="1">
      <c r="A37" s="12" t="s">
        <v>73</v>
      </c>
      <c r="B37" s="31">
        <f>'Monthly Data'!$J$5*(1+Assumptions!$C$35)</f>
        <v>17</v>
      </c>
      <c r="C37" s="31">
        <f>'Monthly Data'!$J$5*(1+Assumptions!$C$35)</f>
        <v>17</v>
      </c>
      <c r="D37" s="31">
        <f>'Monthly Data'!$J$5*(1+Assumptions!$C$35)</f>
        <v>17</v>
      </c>
      <c r="E37" s="31">
        <f>'Monthly Data'!$J$5*(1+Assumptions!$C$35)</f>
        <v>17</v>
      </c>
      <c r="F37" s="31">
        <f>'Monthly Data'!$J$5*(1+Assumptions!$C$35)</f>
        <v>17</v>
      </c>
      <c r="G37" s="31">
        <f>'Monthly Data'!$J$5*(1+Assumptions!$C$35)</f>
        <v>17</v>
      </c>
      <c r="H37" s="31">
        <f>H36/H38</f>
        <v>17</v>
      </c>
      <c r="I37" s="10" t="s">
        <v>78</v>
      </c>
      <c r="O37" s="10"/>
      <c r="P37" s="10"/>
      <c r="Q37" s="2"/>
      <c r="R37" s="2"/>
      <c r="S37" s="2"/>
      <c r="T37" s="2"/>
      <c r="U37" s="2"/>
      <c r="V37" s="2"/>
      <c r="W37" s="2"/>
      <c r="X37" s="2"/>
      <c r="Y37" s="2"/>
      <c r="Z37" s="2"/>
    </row>
    <row r="38" ht="15.0" customHeight="1">
      <c r="A38" s="12" t="s">
        <v>74</v>
      </c>
      <c r="B38" s="32">
        <f t="shared" ref="B38:G38" si="10">B36/B37</f>
        <v>5666.666667</v>
      </c>
      <c r="C38" s="32">
        <f t="shared" si="10"/>
        <v>6000</v>
      </c>
      <c r="D38" s="32">
        <f t="shared" si="10"/>
        <v>6333.333333</v>
      </c>
      <c r="E38" s="32">
        <f t="shared" si="10"/>
        <v>7000</v>
      </c>
      <c r="F38" s="32">
        <f t="shared" si="10"/>
        <v>10000</v>
      </c>
      <c r="G38" s="32">
        <f t="shared" si="10"/>
        <v>11333.33333</v>
      </c>
      <c r="H38" s="32">
        <f t="shared" ref="H38:H39" si="11">SUM(B38:G38)</f>
        <v>46333.33333</v>
      </c>
      <c r="I38" s="2"/>
      <c r="J38" s="2"/>
      <c r="K38" s="2"/>
      <c r="L38" s="2"/>
      <c r="M38" s="2"/>
      <c r="N38" s="2"/>
      <c r="O38" s="2"/>
      <c r="P38" s="2"/>
      <c r="Q38" s="2"/>
      <c r="R38" s="2"/>
      <c r="S38" s="2"/>
      <c r="T38" s="2"/>
      <c r="U38" s="2"/>
      <c r="V38" s="2"/>
      <c r="W38" s="2"/>
      <c r="X38" s="2"/>
      <c r="Y38" s="2"/>
      <c r="Z38" s="2"/>
    </row>
    <row r="39" ht="15.0" customHeight="1">
      <c r="A39" s="12" t="s">
        <v>75</v>
      </c>
      <c r="B39" s="17">
        <f>B38*Assumptions!$B$5</f>
        <v>368333.3333</v>
      </c>
      <c r="C39" s="17">
        <f>C38*Assumptions!$B$5</f>
        <v>390000</v>
      </c>
      <c r="D39" s="17">
        <f>D38*Assumptions!$B$5</f>
        <v>411666.6667</v>
      </c>
      <c r="E39" s="17">
        <f>E38*Assumptions!$B$5</f>
        <v>455000</v>
      </c>
      <c r="F39" s="17">
        <f>F38*Assumptions!$B$5</f>
        <v>650000</v>
      </c>
      <c r="G39" s="17">
        <f>G38*Assumptions!$B$5</f>
        <v>736666.6667</v>
      </c>
      <c r="H39" s="17">
        <f t="shared" si="11"/>
        <v>3011666.667</v>
      </c>
      <c r="I39" s="2"/>
      <c r="J39" s="2"/>
      <c r="K39" s="2"/>
      <c r="L39" s="2"/>
      <c r="M39" s="2"/>
      <c r="N39" s="2"/>
      <c r="O39" s="2"/>
      <c r="P39" s="2"/>
      <c r="Q39" s="2"/>
      <c r="R39" s="2"/>
      <c r="S39" s="2"/>
      <c r="T39" s="2"/>
      <c r="U39" s="2"/>
      <c r="V39" s="2"/>
      <c r="W39" s="2"/>
      <c r="X39" s="2"/>
      <c r="Y39" s="2"/>
      <c r="Z39" s="2"/>
    </row>
    <row r="40" ht="15.0" customHeight="1">
      <c r="A40" s="12" t="s">
        <v>76</v>
      </c>
      <c r="B40" s="31">
        <f>Assumptions!$B$9-B37</f>
        <v>12.25</v>
      </c>
      <c r="C40" s="31">
        <f>Assumptions!$B$9-C37</f>
        <v>12.25</v>
      </c>
      <c r="D40" s="31">
        <f>Assumptions!$B$9-D37</f>
        <v>12.25</v>
      </c>
      <c r="E40" s="31">
        <f>Assumptions!$B$9-E37</f>
        <v>12.25</v>
      </c>
      <c r="F40" s="31">
        <f>Assumptions!$B$9-F37</f>
        <v>12.25</v>
      </c>
      <c r="G40" s="31">
        <f>Assumptions!$B$9-G37</f>
        <v>12.25</v>
      </c>
      <c r="H40" s="1"/>
      <c r="I40" s="2"/>
      <c r="J40" s="2"/>
      <c r="K40" s="2"/>
      <c r="L40" s="2"/>
      <c r="M40" s="2"/>
      <c r="N40" s="2"/>
      <c r="O40" s="2"/>
      <c r="P40" s="2"/>
      <c r="Q40" s="2"/>
      <c r="R40" s="2"/>
      <c r="S40" s="2"/>
      <c r="T40" s="2"/>
      <c r="U40" s="2"/>
      <c r="V40" s="2"/>
      <c r="W40" s="2"/>
      <c r="X40" s="2"/>
      <c r="Y40" s="2"/>
      <c r="Z40" s="2"/>
    </row>
    <row r="41" ht="15.0" customHeight="1">
      <c r="A41" s="12" t="s">
        <v>77</v>
      </c>
      <c r="B41" s="17">
        <f t="shared" ref="B41:G41" si="12">B40*B38</f>
        <v>69416.66667</v>
      </c>
      <c r="C41" s="17">
        <f t="shared" si="12"/>
        <v>73500</v>
      </c>
      <c r="D41" s="17">
        <f t="shared" si="12"/>
        <v>77583.33333</v>
      </c>
      <c r="E41" s="17">
        <f t="shared" si="12"/>
        <v>85750</v>
      </c>
      <c r="F41" s="17">
        <f t="shared" si="12"/>
        <v>122500</v>
      </c>
      <c r="G41" s="17">
        <f t="shared" si="12"/>
        <v>138833.3333</v>
      </c>
      <c r="H41" s="17">
        <f>SUM(B41:G41)</f>
        <v>567583.3333</v>
      </c>
      <c r="I41" s="2"/>
      <c r="J41" s="2"/>
      <c r="K41" s="2"/>
      <c r="L41" s="2"/>
      <c r="M41" s="2"/>
      <c r="N41" s="2"/>
      <c r="O41" s="2"/>
      <c r="P41" s="2"/>
      <c r="Q41" s="2"/>
      <c r="R41" s="2"/>
      <c r="S41" s="2"/>
      <c r="T41" s="2"/>
      <c r="U41" s="2"/>
      <c r="V41" s="2"/>
      <c r="W41" s="2"/>
      <c r="X41" s="2"/>
      <c r="Y41" s="2"/>
      <c r="Z41" s="2"/>
    </row>
    <row r="42" ht="15.75" customHeight="1">
      <c r="A42" s="1"/>
      <c r="B42" s="1"/>
      <c r="C42" s="1"/>
      <c r="D42" s="1"/>
      <c r="E42" s="1"/>
      <c r="F42" s="1"/>
      <c r="G42" s="1"/>
      <c r="H42" s="1"/>
      <c r="I42" s="2"/>
      <c r="J42" s="2"/>
      <c r="K42" s="2"/>
      <c r="L42" s="2"/>
      <c r="M42" s="2"/>
      <c r="N42" s="2"/>
      <c r="O42" s="2"/>
      <c r="P42" s="2"/>
      <c r="Q42" s="2"/>
      <c r="R42" s="2"/>
      <c r="S42" s="2"/>
      <c r="T42" s="2"/>
      <c r="U42" s="2"/>
      <c r="V42" s="2"/>
      <c r="W42" s="2"/>
      <c r="X42" s="2"/>
      <c r="Y42" s="2"/>
      <c r="Z42" s="2"/>
    </row>
    <row r="43" ht="15.0" customHeight="1">
      <c r="A43" s="33" t="s">
        <v>79</v>
      </c>
      <c r="B43" s="4"/>
      <c r="C43" s="4"/>
      <c r="D43" s="4"/>
      <c r="E43" s="4"/>
      <c r="F43" s="4"/>
      <c r="G43" s="4"/>
      <c r="H43" s="5"/>
      <c r="I43" s="2"/>
      <c r="J43" s="2"/>
      <c r="K43" s="2"/>
      <c r="L43" s="2"/>
      <c r="M43" s="2"/>
      <c r="N43" s="2"/>
      <c r="O43" s="2"/>
      <c r="P43" s="2"/>
      <c r="Q43" s="2"/>
      <c r="R43" s="2"/>
      <c r="S43" s="2"/>
      <c r="T43" s="2"/>
      <c r="U43" s="2"/>
      <c r="V43" s="2"/>
      <c r="W43" s="2"/>
      <c r="X43" s="2"/>
      <c r="Y43" s="2"/>
      <c r="Z43" s="2"/>
    </row>
    <row r="44" ht="15.0" customHeight="1">
      <c r="A44" s="19" t="s">
        <v>80</v>
      </c>
      <c r="B44" s="34">
        <f t="shared" ref="B44:G44" si="13">SUM(B9,B18,B27,B36)</f>
        <v>685251.1111</v>
      </c>
      <c r="C44" s="34">
        <f t="shared" si="13"/>
        <v>725560</v>
      </c>
      <c r="D44" s="34">
        <f t="shared" si="13"/>
        <v>765868.8889</v>
      </c>
      <c r="E44" s="34">
        <f t="shared" si="13"/>
        <v>846486.6667</v>
      </c>
      <c r="F44" s="34">
        <f t="shared" si="13"/>
        <v>1209266.667</v>
      </c>
      <c r="G44" s="34">
        <f t="shared" si="13"/>
        <v>1370502.222</v>
      </c>
      <c r="H44" s="34">
        <f t="shared" ref="H44:H46" si="15">SUM(B44:G44)</f>
        <v>5602935.556</v>
      </c>
      <c r="I44" s="2"/>
      <c r="J44" s="2"/>
      <c r="K44" s="2"/>
      <c r="L44" s="2"/>
      <c r="M44" s="2"/>
      <c r="N44" s="2"/>
      <c r="O44" s="2"/>
      <c r="P44" s="2"/>
      <c r="Q44" s="2"/>
      <c r="R44" s="2"/>
      <c r="S44" s="2"/>
      <c r="T44" s="2"/>
      <c r="U44" s="2"/>
      <c r="V44" s="2"/>
      <c r="W44" s="2"/>
      <c r="X44" s="2"/>
      <c r="Y44" s="2"/>
      <c r="Z44" s="2"/>
    </row>
    <row r="45" ht="15.0" customHeight="1">
      <c r="A45" s="19" t="s">
        <v>81</v>
      </c>
      <c r="B45" s="35">
        <f t="shared" ref="B45:G45" si="14">SUM(B11,B20,B29,B38)</f>
        <v>29686.40633</v>
      </c>
      <c r="C45" s="35">
        <f t="shared" si="14"/>
        <v>31091.08727</v>
      </c>
      <c r="D45" s="35">
        <f t="shared" si="14"/>
        <v>32512.47783</v>
      </c>
      <c r="E45" s="35">
        <f t="shared" si="14"/>
        <v>35664.3049</v>
      </c>
      <c r="F45" s="35">
        <f t="shared" si="14"/>
        <v>50674.40964</v>
      </c>
      <c r="G45" s="35">
        <f t="shared" si="14"/>
        <v>57272.92008</v>
      </c>
      <c r="H45" s="35">
        <f t="shared" si="15"/>
        <v>236901.606</v>
      </c>
      <c r="I45" s="2"/>
      <c r="J45" s="2"/>
      <c r="K45" s="2"/>
      <c r="L45" s="2"/>
      <c r="M45" s="2"/>
      <c r="N45" s="2"/>
      <c r="O45" s="2"/>
      <c r="P45" s="2"/>
      <c r="Q45" s="2"/>
      <c r="R45" s="2"/>
      <c r="S45" s="2"/>
      <c r="T45" s="2"/>
      <c r="U45" s="2"/>
      <c r="V45" s="2"/>
      <c r="W45" s="2"/>
      <c r="X45" s="2"/>
      <c r="Y45" s="2"/>
      <c r="Z45" s="2"/>
    </row>
    <row r="46" ht="15.0" customHeight="1">
      <c r="A46" s="19" t="s">
        <v>82</v>
      </c>
      <c r="B46" s="34">
        <f t="shared" ref="B46:G46" si="16">SUM(B12,B21,B30,B39)</f>
        <v>1929616.412</v>
      </c>
      <c r="C46" s="34">
        <f t="shared" si="16"/>
        <v>2020920.672</v>
      </c>
      <c r="D46" s="34">
        <f t="shared" si="16"/>
        <v>2113311.059</v>
      </c>
      <c r="E46" s="34">
        <f t="shared" si="16"/>
        <v>2318179.818</v>
      </c>
      <c r="F46" s="34">
        <f t="shared" si="16"/>
        <v>3293836.627</v>
      </c>
      <c r="G46" s="34">
        <f t="shared" si="16"/>
        <v>3722739.805</v>
      </c>
      <c r="H46" s="34">
        <f t="shared" si="15"/>
        <v>15398604.39</v>
      </c>
      <c r="I46" s="2"/>
      <c r="J46" s="2"/>
      <c r="K46" s="2"/>
      <c r="L46" s="2"/>
      <c r="M46" s="2"/>
      <c r="N46" s="2"/>
      <c r="O46" s="2"/>
      <c r="P46" s="2"/>
      <c r="Q46" s="2"/>
      <c r="R46" s="2"/>
      <c r="S46" s="2"/>
      <c r="T46" s="2"/>
      <c r="U46" s="2"/>
      <c r="V46" s="2"/>
      <c r="W46" s="2"/>
      <c r="X46" s="2"/>
      <c r="Y46" s="2"/>
      <c r="Z46" s="2"/>
    </row>
    <row r="47" ht="15.0" customHeight="1">
      <c r="A47" s="19" t="s">
        <v>83</v>
      </c>
      <c r="B47" s="36">
        <f t="shared" ref="B47:H47" si="17">B44/B45</f>
        <v>23.08299305</v>
      </c>
      <c r="C47" s="36">
        <f t="shared" si="17"/>
        <v>23.33659141</v>
      </c>
      <c r="D47" s="36">
        <f t="shared" si="17"/>
        <v>23.55615259</v>
      </c>
      <c r="E47" s="36">
        <f t="shared" si="17"/>
        <v>23.7348427</v>
      </c>
      <c r="F47" s="36">
        <f t="shared" si="17"/>
        <v>23.8634584</v>
      </c>
      <c r="G47" s="36">
        <f t="shared" si="17"/>
        <v>23.92932332</v>
      </c>
      <c r="H47" s="36">
        <f t="shared" si="17"/>
        <v>23.6508973</v>
      </c>
      <c r="I47" s="2"/>
      <c r="J47" s="2"/>
      <c r="K47" s="2"/>
      <c r="L47" s="2"/>
      <c r="M47" s="2"/>
      <c r="N47" s="2"/>
      <c r="O47" s="2"/>
      <c r="P47" s="2"/>
      <c r="Q47" s="2"/>
      <c r="R47" s="2"/>
      <c r="S47" s="2"/>
      <c r="T47" s="2"/>
      <c r="U47" s="2"/>
      <c r="V47" s="2"/>
      <c r="W47" s="2"/>
      <c r="X47" s="2"/>
      <c r="Y47" s="2"/>
      <c r="Z47" s="2"/>
    </row>
    <row r="48" ht="15.0" customHeight="1">
      <c r="A48" s="19" t="s">
        <v>84</v>
      </c>
      <c r="B48" s="37">
        <f t="shared" ref="B48:H48" si="18">B44/B46</f>
        <v>0.35512297</v>
      </c>
      <c r="C48" s="37">
        <f t="shared" si="18"/>
        <v>0.3590244832</v>
      </c>
      <c r="D48" s="37">
        <f t="shared" si="18"/>
        <v>0.3624023476</v>
      </c>
      <c r="E48" s="37">
        <f t="shared" si="18"/>
        <v>0.3651514261</v>
      </c>
      <c r="F48" s="37">
        <f t="shared" si="18"/>
        <v>0.3671301293</v>
      </c>
      <c r="G48" s="37">
        <f t="shared" si="18"/>
        <v>0.3681434357</v>
      </c>
      <c r="H48" s="37">
        <f t="shared" si="18"/>
        <v>0.3638599585</v>
      </c>
      <c r="I48" s="2"/>
      <c r="J48" s="2"/>
      <c r="K48" s="2"/>
      <c r="L48" s="2"/>
      <c r="M48" s="2"/>
      <c r="N48" s="2"/>
      <c r="O48" s="2"/>
      <c r="P48" s="2"/>
      <c r="Q48" s="2"/>
      <c r="R48" s="2"/>
      <c r="S48" s="2"/>
      <c r="T48" s="2"/>
      <c r="U48" s="2"/>
      <c r="V48" s="2"/>
      <c r="W48" s="2"/>
      <c r="X48" s="2"/>
      <c r="Y48" s="2"/>
      <c r="Z48" s="2"/>
    </row>
    <row r="49" ht="15.0" customHeight="1">
      <c r="A49" s="19" t="s">
        <v>77</v>
      </c>
      <c r="B49" s="34">
        <f t="shared" ref="B49:G49" si="19">SUM(B14,B23,B32,B41)</f>
        <v>417268.7358</v>
      </c>
      <c r="C49" s="34">
        <f t="shared" si="19"/>
        <v>428492.4034</v>
      </c>
      <c r="D49" s="34">
        <f t="shared" si="19"/>
        <v>440367.7464</v>
      </c>
      <c r="E49" s="34">
        <f t="shared" si="19"/>
        <v>476171.2243</v>
      </c>
      <c r="F49" s="34">
        <f t="shared" si="19"/>
        <v>669535.3093</v>
      </c>
      <c r="G49" s="34">
        <f t="shared" si="19"/>
        <v>752641.661</v>
      </c>
      <c r="H49" s="34">
        <f>SUM(B49:G49)</f>
        <v>3184477.08</v>
      </c>
      <c r="I49" s="2"/>
      <c r="J49" s="2"/>
      <c r="K49" s="2"/>
      <c r="L49" s="2"/>
      <c r="M49" s="2"/>
      <c r="N49" s="2"/>
      <c r="O49" s="2"/>
      <c r="P49" s="2"/>
      <c r="Q49" s="2"/>
      <c r="R49" s="2"/>
      <c r="S49" s="2"/>
      <c r="T49" s="2"/>
      <c r="U49" s="2"/>
      <c r="V49" s="2"/>
      <c r="W49" s="2"/>
      <c r="X49" s="2"/>
      <c r="Y49" s="2"/>
      <c r="Z49" s="2"/>
    </row>
    <row r="50" ht="15.75" customHeight="1">
      <c r="A50" s="1"/>
      <c r="B50" s="1"/>
      <c r="C50" s="1"/>
      <c r="D50" s="1"/>
      <c r="E50" s="1"/>
      <c r="F50" s="1"/>
      <c r="G50" s="1"/>
      <c r="H50" s="1"/>
      <c r="I50" s="2"/>
      <c r="J50" s="2"/>
      <c r="K50" s="2"/>
      <c r="L50" s="2"/>
      <c r="M50" s="2"/>
      <c r="N50" s="2"/>
      <c r="O50" s="2"/>
      <c r="P50" s="2"/>
      <c r="Q50" s="2"/>
      <c r="R50" s="2"/>
      <c r="S50" s="2"/>
      <c r="T50" s="2"/>
      <c r="U50" s="2"/>
      <c r="V50" s="2"/>
      <c r="W50" s="2"/>
      <c r="X50" s="2"/>
      <c r="Y50" s="2"/>
      <c r="Z50" s="2"/>
    </row>
    <row r="51" ht="15.75" customHeight="1">
      <c r="A51" s="1"/>
      <c r="B51" s="1"/>
      <c r="C51" s="1"/>
      <c r="D51" s="1"/>
      <c r="E51" s="1"/>
      <c r="F51" s="1"/>
      <c r="G51" s="1"/>
      <c r="H51" s="1"/>
      <c r="I51" s="2"/>
      <c r="J51" s="2"/>
      <c r="K51" s="2"/>
      <c r="L51" s="2"/>
      <c r="M51" s="2"/>
      <c r="N51" s="2"/>
      <c r="O51" s="2"/>
      <c r="P51" s="2"/>
      <c r="Q51" s="2"/>
      <c r="R51" s="2"/>
      <c r="S51" s="2"/>
      <c r="T51" s="2"/>
      <c r="U51" s="2"/>
      <c r="V51" s="2"/>
      <c r="W51" s="2"/>
      <c r="X51" s="2"/>
      <c r="Y51" s="2"/>
      <c r="Z51" s="2"/>
    </row>
    <row r="52" ht="15.0" customHeight="1">
      <c r="A52" s="11" t="s">
        <v>85</v>
      </c>
      <c r="B52" s="4"/>
      <c r="C52" s="4"/>
      <c r="D52" s="4"/>
      <c r="E52" s="4"/>
      <c r="F52" s="4"/>
      <c r="G52" s="4"/>
      <c r="H52" s="5"/>
      <c r="I52" s="2"/>
      <c r="J52" s="2"/>
      <c r="K52" s="2"/>
      <c r="L52" s="2"/>
      <c r="M52" s="2"/>
      <c r="N52" s="2"/>
      <c r="O52" s="2"/>
      <c r="P52" s="2"/>
      <c r="Q52" s="2"/>
      <c r="R52" s="2"/>
      <c r="S52" s="2"/>
      <c r="T52" s="2"/>
      <c r="U52" s="2"/>
      <c r="V52" s="2"/>
      <c r="W52" s="2"/>
      <c r="X52" s="2"/>
      <c r="Y52" s="2"/>
      <c r="Z52" s="2"/>
    </row>
    <row r="53" ht="15.0" customHeight="1">
      <c r="A53" s="19" t="s">
        <v>86</v>
      </c>
      <c r="B53" s="2"/>
      <c r="C53" s="1"/>
      <c r="D53" s="1"/>
      <c r="E53" s="1"/>
      <c r="F53" s="1"/>
      <c r="G53" s="1"/>
      <c r="H53" s="17">
        <f>H46</f>
        <v>15398604.39</v>
      </c>
      <c r="I53" s="2"/>
      <c r="J53" s="2"/>
      <c r="K53" s="2"/>
      <c r="L53" s="2"/>
      <c r="M53" s="2"/>
      <c r="N53" s="2"/>
      <c r="O53" s="2"/>
      <c r="P53" s="2"/>
      <c r="Q53" s="2"/>
      <c r="R53" s="2"/>
      <c r="S53" s="2"/>
      <c r="T53" s="2"/>
      <c r="U53" s="2"/>
      <c r="V53" s="2"/>
      <c r="W53" s="2"/>
      <c r="X53" s="2"/>
      <c r="Y53" s="2"/>
      <c r="Z53" s="2"/>
    </row>
    <row r="54" ht="15.0" customHeight="1">
      <c r="A54" s="19" t="s">
        <v>87</v>
      </c>
      <c r="B54" s="2"/>
      <c r="C54" s="1"/>
      <c r="D54" s="1"/>
      <c r="E54" s="1"/>
      <c r="F54" s="1"/>
      <c r="G54" s="1"/>
      <c r="H54" s="15">
        <f>Assumptions!B19</f>
        <v>13338000</v>
      </c>
      <c r="I54" s="2"/>
      <c r="J54" s="2"/>
      <c r="K54" s="2"/>
      <c r="L54" s="2"/>
      <c r="M54" s="2"/>
      <c r="N54" s="2"/>
      <c r="O54" s="2"/>
      <c r="P54" s="2"/>
      <c r="Q54" s="2"/>
      <c r="R54" s="2"/>
      <c r="S54" s="2"/>
      <c r="T54" s="2"/>
      <c r="U54" s="2"/>
      <c r="V54" s="2"/>
      <c r="W54" s="2"/>
      <c r="X54" s="2"/>
      <c r="Y54" s="2"/>
      <c r="Z54" s="2"/>
    </row>
    <row r="55" ht="15.0" customHeight="1">
      <c r="A55" s="19" t="s">
        <v>88</v>
      </c>
      <c r="B55" s="2"/>
      <c r="C55" s="1"/>
      <c r="D55" s="1"/>
      <c r="E55" s="1"/>
      <c r="F55" s="1"/>
      <c r="G55" s="1"/>
      <c r="H55" s="38">
        <f>H53-H54</f>
        <v>2060604.393</v>
      </c>
      <c r="I55" s="2"/>
      <c r="J55" s="2"/>
      <c r="K55" s="2"/>
      <c r="L55" s="2"/>
      <c r="M55" s="2"/>
      <c r="N55" s="2"/>
      <c r="O55" s="2"/>
      <c r="P55" s="2"/>
      <c r="Q55" s="2"/>
      <c r="R55" s="2"/>
      <c r="S55" s="2"/>
      <c r="T55" s="2"/>
      <c r="U55" s="2"/>
      <c r="V55" s="2"/>
      <c r="W55" s="2"/>
      <c r="X55" s="2"/>
      <c r="Y55" s="2"/>
      <c r="Z55" s="2"/>
    </row>
    <row r="56" ht="15.0" customHeight="1">
      <c r="A56" s="19" t="s">
        <v>89</v>
      </c>
      <c r="B56" s="2"/>
      <c r="C56" s="1"/>
      <c r="D56" s="1"/>
      <c r="E56" s="1"/>
      <c r="F56" s="1"/>
      <c r="G56" s="1"/>
      <c r="H56" s="39">
        <f>H53/H54-1</f>
        <v>0.1544912575</v>
      </c>
      <c r="I56" s="2"/>
      <c r="J56" s="2"/>
      <c r="K56" s="2"/>
      <c r="L56" s="2"/>
      <c r="M56" s="2"/>
      <c r="N56" s="2"/>
      <c r="O56" s="2"/>
      <c r="P56" s="2"/>
      <c r="Q56" s="2"/>
      <c r="R56" s="2"/>
      <c r="S56" s="2"/>
      <c r="T56" s="2"/>
      <c r="U56" s="2"/>
      <c r="V56" s="2"/>
      <c r="W56" s="2"/>
      <c r="X56" s="2"/>
      <c r="Y56" s="2"/>
      <c r="Z56" s="2"/>
    </row>
    <row r="57" ht="15.0" customHeight="1">
      <c r="A57" s="19" t="s">
        <v>90</v>
      </c>
      <c r="B57" s="2"/>
      <c r="C57" s="1"/>
      <c r="D57" s="1"/>
      <c r="E57" s="1"/>
      <c r="F57" s="1"/>
      <c r="G57" s="1"/>
      <c r="H57" s="40" t="str">
        <f>IF(H53&gt;=H54,"On track / ahead of target","Short of target — needs more lever")</f>
        <v>On track / ahead of target</v>
      </c>
      <c r="I57" s="2"/>
      <c r="J57" s="2"/>
      <c r="K57" s="2"/>
      <c r="L57" s="2"/>
      <c r="M57" s="2"/>
      <c r="N57" s="2"/>
      <c r="O57" s="2"/>
      <c r="P57" s="2"/>
      <c r="Q57" s="2"/>
      <c r="R57" s="2"/>
      <c r="S57" s="2"/>
      <c r="T57" s="2"/>
      <c r="U57" s="2"/>
      <c r="V57" s="2"/>
      <c r="W57" s="2"/>
      <c r="X57" s="2"/>
      <c r="Y57" s="2"/>
      <c r="Z57" s="2"/>
    </row>
    <row r="58" ht="15.75" customHeight="1">
      <c r="A58" s="1"/>
      <c r="B58" s="1"/>
      <c r="C58" s="1"/>
      <c r="D58" s="1"/>
      <c r="E58" s="1"/>
      <c r="F58" s="1"/>
      <c r="G58" s="1"/>
      <c r="H58" s="1"/>
      <c r="I58" s="2"/>
      <c r="J58" s="2"/>
      <c r="K58" s="2"/>
      <c r="L58" s="2"/>
      <c r="M58" s="2"/>
      <c r="N58" s="2"/>
      <c r="O58" s="2"/>
      <c r="P58" s="2"/>
      <c r="Q58" s="2"/>
      <c r="R58" s="2"/>
      <c r="S58" s="2"/>
      <c r="T58" s="2"/>
      <c r="U58" s="2"/>
      <c r="V58" s="2"/>
      <c r="W58" s="2"/>
      <c r="X58" s="2"/>
      <c r="Y58" s="2"/>
      <c r="Z58" s="2"/>
    </row>
    <row r="59" ht="15.0" customHeight="1">
      <c r="A59" s="33" t="s">
        <v>91</v>
      </c>
      <c r="B59" s="4"/>
      <c r="C59" s="4"/>
      <c r="D59" s="4"/>
      <c r="E59" s="4"/>
      <c r="F59" s="4"/>
      <c r="G59" s="4"/>
      <c r="H59" s="5"/>
      <c r="I59" s="2"/>
      <c r="J59" s="2"/>
      <c r="K59" s="2"/>
      <c r="L59" s="2"/>
      <c r="M59" s="2"/>
      <c r="N59" s="2"/>
      <c r="O59" s="2"/>
      <c r="P59" s="2"/>
      <c r="Q59" s="2"/>
      <c r="R59" s="2"/>
      <c r="S59" s="2"/>
      <c r="T59" s="2"/>
      <c r="U59" s="2"/>
      <c r="V59" s="2"/>
      <c r="W59" s="2"/>
      <c r="X59" s="2"/>
      <c r="Y59" s="2"/>
      <c r="Z59" s="2"/>
    </row>
    <row r="60" ht="21.75" customHeight="1">
      <c r="A60" s="10" t="s">
        <v>92</v>
      </c>
      <c r="I60" s="2"/>
      <c r="J60" s="2"/>
      <c r="K60" s="2"/>
      <c r="L60" s="2"/>
      <c r="M60" s="2"/>
      <c r="N60" s="2"/>
      <c r="O60" s="2"/>
      <c r="P60" s="2"/>
      <c r="Q60" s="2"/>
      <c r="R60" s="2"/>
      <c r="S60" s="2"/>
      <c r="T60" s="2"/>
      <c r="U60" s="2"/>
      <c r="V60" s="2"/>
      <c r="W60" s="2"/>
      <c r="X60" s="2"/>
      <c r="Y60" s="2"/>
      <c r="Z60" s="2"/>
    </row>
    <row r="61" ht="15.0" customHeight="1">
      <c r="A61" s="12" t="s">
        <v>93</v>
      </c>
      <c r="B61" s="2"/>
      <c r="C61" s="1"/>
      <c r="D61" s="1"/>
      <c r="E61" s="1"/>
      <c r="F61" s="1"/>
      <c r="G61" s="1"/>
      <c r="H61" s="15">
        <f>Assumptions!B14</f>
        <v>11115000</v>
      </c>
      <c r="I61" s="2"/>
      <c r="J61" s="2"/>
      <c r="K61" s="2"/>
      <c r="L61" s="2"/>
      <c r="M61" s="2"/>
      <c r="N61" s="2"/>
      <c r="O61" s="2"/>
      <c r="P61" s="2"/>
      <c r="Q61" s="2"/>
      <c r="R61" s="2"/>
      <c r="S61" s="2"/>
      <c r="T61" s="2"/>
      <c r="U61" s="2"/>
      <c r="V61" s="2"/>
      <c r="W61" s="2"/>
      <c r="X61" s="2"/>
      <c r="Y61" s="2"/>
      <c r="Z61" s="2"/>
    </row>
    <row r="62" ht="15.0" customHeight="1">
      <c r="A62" s="41" t="s">
        <v>94</v>
      </c>
      <c r="B62" s="2"/>
      <c r="C62" s="1"/>
      <c r="D62" s="1"/>
      <c r="E62" s="1"/>
      <c r="F62" s="1"/>
      <c r="G62" s="1"/>
      <c r="H62" s="17">
        <f>Assumptions!B16*(Assumptions!B28/Assumptions!B17-1)</f>
        <v>1390307.377</v>
      </c>
      <c r="I62" s="2"/>
      <c r="J62" s="2"/>
      <c r="K62" s="2"/>
      <c r="L62" s="2"/>
      <c r="M62" s="2"/>
      <c r="N62" s="2"/>
      <c r="O62" s="2"/>
      <c r="P62" s="2"/>
      <c r="Q62" s="2"/>
      <c r="R62" s="2"/>
      <c r="S62" s="2"/>
      <c r="T62" s="2"/>
      <c r="U62" s="2"/>
      <c r="V62" s="2"/>
      <c r="W62" s="2"/>
      <c r="X62" s="2"/>
      <c r="Y62" s="2"/>
      <c r="Z62" s="2"/>
    </row>
    <row r="63" ht="15.0" customHeight="1">
      <c r="A63" s="41" t="s">
        <v>95</v>
      </c>
      <c r="B63" s="2"/>
      <c r="C63" s="1"/>
      <c r="D63" s="1"/>
      <c r="E63" s="1"/>
      <c r="F63" s="1"/>
      <c r="G63" s="1"/>
      <c r="H63" s="17">
        <f>H39-Assumptions!B15</f>
        <v>1874166.667</v>
      </c>
      <c r="I63" s="2"/>
      <c r="J63" s="2"/>
      <c r="K63" s="2"/>
      <c r="L63" s="2"/>
      <c r="M63" s="2"/>
      <c r="N63" s="2"/>
      <c r="O63" s="2"/>
      <c r="P63" s="2"/>
      <c r="Q63" s="2"/>
      <c r="R63" s="2"/>
      <c r="S63" s="2"/>
      <c r="T63" s="2"/>
      <c r="U63" s="2"/>
      <c r="V63" s="2"/>
      <c r="W63" s="2"/>
      <c r="X63" s="2"/>
      <c r="Y63" s="2"/>
      <c r="Z63" s="2"/>
    </row>
    <row r="64" ht="15.0" customHeight="1">
      <c r="A64" s="41" t="s">
        <v>96</v>
      </c>
      <c r="B64" s="2"/>
      <c r="C64" s="1"/>
      <c r="D64" s="1"/>
      <c r="E64" s="1"/>
      <c r="F64" s="1"/>
      <c r="G64" s="1"/>
      <c r="H64" s="17">
        <f>H53-H61-H62-H63</f>
        <v>1019130.349</v>
      </c>
      <c r="I64" s="2"/>
      <c r="J64" s="2"/>
      <c r="K64" s="2"/>
      <c r="L64" s="2"/>
      <c r="M64" s="2"/>
      <c r="N64" s="2"/>
      <c r="O64" s="2"/>
      <c r="P64" s="2"/>
      <c r="Q64" s="2"/>
      <c r="R64" s="2"/>
      <c r="S64" s="2"/>
      <c r="T64" s="2"/>
      <c r="U64" s="2"/>
      <c r="V64" s="2"/>
      <c r="W64" s="2"/>
      <c r="X64" s="2"/>
      <c r="Y64" s="2"/>
      <c r="Z64" s="2"/>
    </row>
    <row r="65" ht="15.0" customHeight="1">
      <c r="A65" s="19" t="s">
        <v>97</v>
      </c>
      <c r="B65" s="2"/>
      <c r="C65" s="1"/>
      <c r="D65" s="1"/>
      <c r="E65" s="1"/>
      <c r="F65" s="1"/>
      <c r="G65" s="1"/>
      <c r="H65" s="34">
        <f>SUM(H61:H64)</f>
        <v>15398604.39</v>
      </c>
      <c r="I65" s="2"/>
      <c r="J65" s="2"/>
      <c r="K65" s="2"/>
      <c r="L65" s="2"/>
      <c r="M65" s="2"/>
      <c r="N65" s="2"/>
      <c r="O65" s="2"/>
      <c r="P65" s="2"/>
      <c r="Q65" s="2"/>
      <c r="R65" s="2"/>
      <c r="S65" s="2"/>
      <c r="T65" s="2"/>
      <c r="U65" s="2"/>
      <c r="V65" s="2"/>
      <c r="W65" s="2"/>
      <c r="X65" s="2"/>
      <c r="Y65" s="2"/>
      <c r="Z65" s="2"/>
    </row>
    <row r="66" ht="15.75" customHeight="1">
      <c r="A66" s="1"/>
      <c r="B66" s="1"/>
      <c r="C66" s="1"/>
      <c r="D66" s="1"/>
      <c r="E66" s="1"/>
      <c r="F66" s="1"/>
      <c r="G66" s="1"/>
      <c r="H66" s="1"/>
      <c r="I66" s="2"/>
      <c r="J66" s="2"/>
      <c r="K66" s="2"/>
      <c r="L66" s="2"/>
      <c r="M66" s="2"/>
      <c r="N66" s="2"/>
      <c r="O66" s="2"/>
      <c r="P66" s="2"/>
      <c r="Q66" s="2"/>
      <c r="R66" s="2"/>
      <c r="S66" s="2"/>
      <c r="T66" s="2"/>
      <c r="U66" s="2"/>
      <c r="V66" s="2"/>
      <c r="W66" s="2"/>
      <c r="X66" s="2"/>
      <c r="Y66" s="2"/>
      <c r="Z66" s="2"/>
    </row>
    <row r="67" ht="15.75" customHeight="1">
      <c r="A67" s="1"/>
      <c r="B67" s="1"/>
      <c r="C67" s="1"/>
      <c r="D67" s="1"/>
      <c r="E67" s="1"/>
      <c r="F67" s="1"/>
      <c r="G67" s="1"/>
      <c r="H67" s="1"/>
      <c r="I67" s="2"/>
      <c r="J67" s="2"/>
      <c r="K67" s="2"/>
      <c r="L67" s="2"/>
      <c r="M67" s="2"/>
      <c r="N67" s="2"/>
      <c r="O67" s="2"/>
      <c r="P67" s="2"/>
      <c r="Q67" s="2"/>
      <c r="R67" s="2"/>
      <c r="S67" s="2"/>
      <c r="T67" s="2"/>
      <c r="U67" s="2"/>
      <c r="V67" s="2"/>
      <c r="W67" s="2"/>
      <c r="X67" s="2"/>
      <c r="Y67" s="2"/>
      <c r="Z67" s="2"/>
    </row>
    <row r="68" ht="15.75" customHeight="1">
      <c r="A68" s="1"/>
      <c r="B68" s="1"/>
      <c r="C68" s="1"/>
      <c r="D68" s="1"/>
      <c r="E68" s="1"/>
      <c r="F68" s="1"/>
      <c r="G68" s="1"/>
      <c r="H68" s="1"/>
      <c r="I68" s="2"/>
      <c r="J68" s="2"/>
      <c r="K68" s="2"/>
      <c r="L68" s="2"/>
      <c r="M68" s="2"/>
      <c r="N68" s="2"/>
      <c r="O68" s="2"/>
      <c r="P68" s="2"/>
      <c r="Q68" s="2"/>
      <c r="R68" s="2"/>
      <c r="S68" s="2"/>
      <c r="T68" s="2"/>
      <c r="U68" s="2"/>
      <c r="V68" s="2"/>
      <c r="W68" s="2"/>
      <c r="X68" s="2"/>
      <c r="Y68" s="2"/>
      <c r="Z68" s="2"/>
    </row>
    <row r="69" ht="15.75" customHeight="1">
      <c r="A69" s="1"/>
      <c r="B69" s="1"/>
      <c r="C69" s="1"/>
      <c r="D69" s="1"/>
      <c r="E69" s="1"/>
      <c r="F69" s="1"/>
      <c r="G69" s="1"/>
      <c r="H69" s="1"/>
      <c r="I69" s="2"/>
      <c r="J69" s="2"/>
      <c r="K69" s="2"/>
      <c r="L69" s="2"/>
      <c r="M69" s="2"/>
      <c r="N69" s="2"/>
      <c r="O69" s="2"/>
      <c r="P69" s="2"/>
      <c r="Q69" s="2"/>
      <c r="R69" s="2"/>
      <c r="S69" s="2"/>
      <c r="T69" s="2"/>
      <c r="U69" s="2"/>
      <c r="V69" s="2"/>
      <c r="W69" s="2"/>
      <c r="X69" s="2"/>
      <c r="Y69" s="2"/>
      <c r="Z69" s="2"/>
    </row>
    <row r="70" ht="15.75" customHeight="1">
      <c r="A70" s="1"/>
      <c r="B70" s="1"/>
      <c r="C70" s="1"/>
      <c r="D70" s="1"/>
      <c r="E70" s="1"/>
      <c r="F70" s="1"/>
      <c r="G70" s="1"/>
      <c r="H70" s="1"/>
      <c r="I70" s="2"/>
      <c r="J70" s="2"/>
      <c r="K70" s="2"/>
      <c r="L70" s="2"/>
      <c r="M70" s="2"/>
      <c r="N70" s="2"/>
      <c r="O70" s="2"/>
      <c r="P70" s="2"/>
      <c r="Q70" s="2"/>
      <c r="R70" s="2"/>
      <c r="S70" s="2"/>
      <c r="T70" s="2"/>
      <c r="U70" s="2"/>
      <c r="V70" s="2"/>
      <c r="W70" s="2"/>
      <c r="X70" s="2"/>
      <c r="Y70" s="2"/>
      <c r="Z70" s="2"/>
    </row>
    <row r="71" ht="15.75" customHeight="1">
      <c r="A71" s="1"/>
      <c r="B71" s="1"/>
      <c r="C71" s="1"/>
      <c r="D71" s="1"/>
      <c r="E71" s="1"/>
      <c r="F71" s="1"/>
      <c r="G71" s="1"/>
      <c r="H71" s="1"/>
      <c r="I71" s="2"/>
      <c r="J71" s="2"/>
      <c r="K71" s="2"/>
      <c r="L71" s="2"/>
      <c r="M71" s="2"/>
      <c r="N71" s="2"/>
      <c r="O71" s="2"/>
      <c r="P71" s="2"/>
      <c r="Q71" s="2"/>
      <c r="R71" s="2"/>
      <c r="S71" s="2"/>
      <c r="T71" s="2"/>
      <c r="U71" s="2"/>
      <c r="V71" s="2"/>
      <c r="W71" s="2"/>
      <c r="X71" s="2"/>
      <c r="Y71" s="2"/>
      <c r="Z71" s="2"/>
    </row>
    <row r="72" ht="15.75" customHeight="1">
      <c r="A72" s="1"/>
      <c r="B72" s="1"/>
      <c r="C72" s="1"/>
      <c r="D72" s="1"/>
      <c r="E72" s="1"/>
      <c r="F72" s="1"/>
      <c r="G72" s="1"/>
      <c r="H72" s="1"/>
      <c r="I72" s="2"/>
      <c r="J72" s="2"/>
      <c r="K72" s="2"/>
      <c r="L72" s="2"/>
      <c r="M72" s="2"/>
      <c r="N72" s="2"/>
      <c r="O72" s="2"/>
      <c r="P72" s="2"/>
      <c r="Q72" s="2"/>
      <c r="R72" s="2"/>
      <c r="S72" s="2"/>
      <c r="T72" s="2"/>
      <c r="U72" s="2"/>
      <c r="V72" s="2"/>
      <c r="W72" s="2"/>
      <c r="X72" s="2"/>
      <c r="Y72" s="2"/>
      <c r="Z72" s="2"/>
    </row>
    <row r="73" ht="15.75" customHeight="1">
      <c r="A73" s="1"/>
      <c r="B73" s="1"/>
      <c r="C73" s="1"/>
      <c r="D73" s="1"/>
      <c r="E73" s="1"/>
      <c r="F73" s="1"/>
      <c r="G73" s="1"/>
      <c r="H73" s="1"/>
      <c r="I73" s="2"/>
      <c r="J73" s="2"/>
      <c r="K73" s="2"/>
      <c r="L73" s="2"/>
      <c r="M73" s="2"/>
      <c r="N73" s="2"/>
      <c r="O73" s="2"/>
      <c r="P73" s="2"/>
      <c r="Q73" s="2"/>
      <c r="R73" s="2"/>
      <c r="S73" s="2"/>
      <c r="T73" s="2"/>
      <c r="U73" s="2"/>
      <c r="V73" s="2"/>
      <c r="W73" s="2"/>
      <c r="X73" s="2"/>
      <c r="Y73" s="2"/>
      <c r="Z73" s="2"/>
    </row>
    <row r="74" ht="15.75" customHeight="1">
      <c r="A74" s="1"/>
      <c r="B74" s="1"/>
      <c r="C74" s="1"/>
      <c r="D74" s="1"/>
      <c r="E74" s="1"/>
      <c r="F74" s="1"/>
      <c r="G74" s="1"/>
      <c r="H74" s="1"/>
      <c r="I74" s="2"/>
      <c r="J74" s="2"/>
      <c r="K74" s="2"/>
      <c r="L74" s="2"/>
      <c r="M74" s="2"/>
      <c r="N74" s="2"/>
      <c r="O74" s="2"/>
      <c r="P74" s="2"/>
      <c r="Q74" s="2"/>
      <c r="R74" s="2"/>
      <c r="S74" s="2"/>
      <c r="T74" s="2"/>
      <c r="U74" s="2"/>
      <c r="V74" s="2"/>
      <c r="W74" s="2"/>
      <c r="X74" s="2"/>
      <c r="Y74" s="2"/>
      <c r="Z74" s="2"/>
    </row>
    <row r="75" ht="15.75" customHeight="1">
      <c r="A75" s="1"/>
      <c r="B75" s="1"/>
      <c r="C75" s="1"/>
      <c r="D75" s="1"/>
      <c r="E75" s="1"/>
      <c r="F75" s="1"/>
      <c r="G75" s="1"/>
      <c r="H75" s="1"/>
      <c r="I75" s="2"/>
      <c r="J75" s="2"/>
      <c r="K75" s="2"/>
      <c r="L75" s="2"/>
      <c r="M75" s="2"/>
      <c r="N75" s="2"/>
      <c r="O75" s="2"/>
      <c r="P75" s="2"/>
      <c r="Q75" s="2"/>
      <c r="R75" s="2"/>
      <c r="S75" s="2"/>
      <c r="T75" s="2"/>
      <c r="U75" s="2"/>
      <c r="V75" s="2"/>
      <c r="W75" s="2"/>
      <c r="X75" s="2"/>
      <c r="Y75" s="2"/>
      <c r="Z75" s="2"/>
    </row>
    <row r="76" ht="15.75" customHeight="1">
      <c r="A76" s="1"/>
      <c r="B76" s="1"/>
      <c r="C76" s="1"/>
      <c r="D76" s="1"/>
      <c r="E76" s="1"/>
      <c r="F76" s="1"/>
      <c r="G76" s="1"/>
      <c r="H76" s="1"/>
      <c r="I76" s="2"/>
      <c r="J76" s="2"/>
      <c r="K76" s="2"/>
      <c r="L76" s="2"/>
      <c r="M76" s="2"/>
      <c r="N76" s="2"/>
      <c r="O76" s="2"/>
      <c r="P76" s="2"/>
      <c r="Q76" s="2"/>
      <c r="R76" s="2"/>
      <c r="S76" s="2"/>
      <c r="T76" s="2"/>
      <c r="U76" s="2"/>
      <c r="V76" s="2"/>
      <c r="W76" s="2"/>
      <c r="X76" s="2"/>
      <c r="Y76" s="2"/>
      <c r="Z76" s="2"/>
    </row>
    <row r="77" ht="15.75" customHeight="1">
      <c r="A77" s="1"/>
      <c r="B77" s="1"/>
      <c r="C77" s="1"/>
      <c r="D77" s="1"/>
      <c r="E77" s="1"/>
      <c r="F77" s="1"/>
      <c r="G77" s="1"/>
      <c r="H77" s="1"/>
      <c r="I77" s="2"/>
      <c r="J77" s="2"/>
      <c r="K77" s="2"/>
      <c r="L77" s="2"/>
      <c r="M77" s="2"/>
      <c r="N77" s="2"/>
      <c r="O77" s="2"/>
      <c r="P77" s="2"/>
      <c r="Q77" s="2"/>
      <c r="R77" s="2"/>
      <c r="S77" s="2"/>
      <c r="T77" s="2"/>
      <c r="U77" s="2"/>
      <c r="V77" s="2"/>
      <c r="W77" s="2"/>
      <c r="X77" s="2"/>
      <c r="Y77" s="2"/>
      <c r="Z77" s="2"/>
    </row>
    <row r="78" ht="15.75" customHeight="1">
      <c r="A78" s="1"/>
      <c r="B78" s="1"/>
      <c r="C78" s="1"/>
      <c r="D78" s="1"/>
      <c r="E78" s="1"/>
      <c r="F78" s="1"/>
      <c r="G78" s="1"/>
      <c r="H78" s="1"/>
      <c r="I78" s="2"/>
      <c r="J78" s="2"/>
      <c r="K78" s="2"/>
      <c r="L78" s="2"/>
      <c r="M78" s="2"/>
      <c r="N78" s="2"/>
      <c r="O78" s="2"/>
      <c r="P78" s="2"/>
      <c r="Q78" s="2"/>
      <c r="R78" s="2"/>
      <c r="S78" s="2"/>
      <c r="T78" s="2"/>
      <c r="U78" s="2"/>
      <c r="V78" s="2"/>
      <c r="W78" s="2"/>
      <c r="X78" s="2"/>
      <c r="Y78" s="2"/>
      <c r="Z78" s="2"/>
    </row>
    <row r="79" ht="15.75" customHeight="1">
      <c r="A79" s="1"/>
      <c r="B79" s="1"/>
      <c r="C79" s="1"/>
      <c r="D79" s="1"/>
      <c r="E79" s="1"/>
      <c r="F79" s="1"/>
      <c r="G79" s="1"/>
      <c r="H79" s="1"/>
      <c r="I79" s="2"/>
      <c r="J79" s="2"/>
      <c r="K79" s="2"/>
      <c r="L79" s="2"/>
      <c r="M79" s="2"/>
      <c r="N79" s="2"/>
      <c r="O79" s="2"/>
      <c r="P79" s="2"/>
      <c r="Q79" s="2"/>
      <c r="R79" s="2"/>
      <c r="S79" s="2"/>
      <c r="T79" s="2"/>
      <c r="U79" s="2"/>
      <c r="V79" s="2"/>
      <c r="W79" s="2"/>
      <c r="X79" s="2"/>
      <c r="Y79" s="2"/>
      <c r="Z79" s="2"/>
    </row>
    <row r="80" ht="15.75" customHeight="1">
      <c r="A80" s="1"/>
      <c r="B80" s="1"/>
      <c r="C80" s="1"/>
      <c r="D80" s="1"/>
      <c r="E80" s="1"/>
      <c r="F80" s="1"/>
      <c r="G80" s="1"/>
      <c r="H80" s="1"/>
      <c r="I80" s="2"/>
      <c r="J80" s="2"/>
      <c r="K80" s="2"/>
      <c r="L80" s="2"/>
      <c r="M80" s="2"/>
      <c r="N80" s="2"/>
      <c r="O80" s="2"/>
      <c r="P80" s="2"/>
      <c r="Q80" s="2"/>
      <c r="R80" s="2"/>
      <c r="S80" s="2"/>
      <c r="T80" s="2"/>
      <c r="U80" s="2"/>
      <c r="V80" s="2"/>
      <c r="W80" s="2"/>
      <c r="X80" s="2"/>
      <c r="Y80" s="2"/>
      <c r="Z80" s="2"/>
    </row>
    <row r="81" ht="15.75" customHeight="1">
      <c r="A81" s="1"/>
      <c r="B81" s="1"/>
      <c r="C81" s="1"/>
      <c r="D81" s="1"/>
      <c r="E81" s="1"/>
      <c r="F81" s="1"/>
      <c r="G81" s="1"/>
      <c r="H81" s="1"/>
      <c r="I81" s="2"/>
      <c r="J81" s="2"/>
      <c r="K81" s="2"/>
      <c r="L81" s="2"/>
      <c r="M81" s="2"/>
      <c r="N81" s="2"/>
      <c r="O81" s="2"/>
      <c r="P81" s="2"/>
      <c r="Q81" s="2"/>
      <c r="R81" s="2"/>
      <c r="S81" s="2"/>
      <c r="T81" s="2"/>
      <c r="U81" s="2"/>
      <c r="V81" s="2"/>
      <c r="W81" s="2"/>
      <c r="X81" s="2"/>
      <c r="Y81" s="2"/>
      <c r="Z81" s="2"/>
    </row>
    <row r="82" ht="15.75" customHeight="1">
      <c r="A82" s="1"/>
      <c r="B82" s="1"/>
      <c r="C82" s="1"/>
      <c r="D82" s="1"/>
      <c r="E82" s="1"/>
      <c r="F82" s="1"/>
      <c r="G82" s="1"/>
      <c r="H82" s="1"/>
      <c r="I82" s="2"/>
      <c r="J82" s="2"/>
      <c r="K82" s="2"/>
      <c r="L82" s="2"/>
      <c r="M82" s="2"/>
      <c r="N82" s="2"/>
      <c r="O82" s="2"/>
      <c r="P82" s="2"/>
      <c r="Q82" s="2"/>
      <c r="R82" s="2"/>
      <c r="S82" s="2"/>
      <c r="T82" s="2"/>
      <c r="U82" s="2"/>
      <c r="V82" s="2"/>
      <c r="W82" s="2"/>
      <c r="X82" s="2"/>
      <c r="Y82" s="2"/>
      <c r="Z82" s="2"/>
    </row>
    <row r="83" ht="15.75" customHeight="1">
      <c r="A83" s="1"/>
      <c r="B83" s="1"/>
      <c r="C83" s="1"/>
      <c r="D83" s="1"/>
      <c r="E83" s="1"/>
      <c r="F83" s="1"/>
      <c r="G83" s="1"/>
      <c r="H83" s="1"/>
      <c r="I83" s="2"/>
      <c r="J83" s="2"/>
      <c r="K83" s="2"/>
      <c r="L83" s="2"/>
      <c r="M83" s="2"/>
      <c r="N83" s="2"/>
      <c r="O83" s="2"/>
      <c r="P83" s="2"/>
      <c r="Q83" s="2"/>
      <c r="R83" s="2"/>
      <c r="S83" s="2"/>
      <c r="T83" s="2"/>
      <c r="U83" s="2"/>
      <c r="V83" s="2"/>
      <c r="W83" s="2"/>
      <c r="X83" s="2"/>
      <c r="Y83" s="2"/>
      <c r="Z83" s="2"/>
    </row>
    <row r="84" ht="15.75" customHeight="1">
      <c r="A84" s="1"/>
      <c r="B84" s="1"/>
      <c r="C84" s="1"/>
      <c r="D84" s="1"/>
      <c r="E84" s="1"/>
      <c r="F84" s="1"/>
      <c r="G84" s="1"/>
      <c r="H84" s="1"/>
      <c r="I84" s="2"/>
      <c r="J84" s="2"/>
      <c r="K84" s="2"/>
      <c r="L84" s="2"/>
      <c r="M84" s="2"/>
      <c r="N84" s="2"/>
      <c r="O84" s="2"/>
      <c r="P84" s="2"/>
      <c r="Q84" s="2"/>
      <c r="R84" s="2"/>
      <c r="S84" s="2"/>
      <c r="T84" s="2"/>
      <c r="U84" s="2"/>
      <c r="V84" s="2"/>
      <c r="W84" s="2"/>
      <c r="X84" s="2"/>
      <c r="Y84" s="2"/>
      <c r="Z84" s="2"/>
    </row>
    <row r="85" ht="15.75" customHeight="1">
      <c r="A85" s="1"/>
      <c r="B85" s="1"/>
      <c r="C85" s="1"/>
      <c r="D85" s="1"/>
      <c r="E85" s="1"/>
      <c r="F85" s="1"/>
      <c r="G85" s="1"/>
      <c r="H85" s="1"/>
      <c r="I85" s="2"/>
      <c r="J85" s="2"/>
      <c r="K85" s="2"/>
      <c r="L85" s="2"/>
      <c r="M85" s="2"/>
      <c r="N85" s="2"/>
      <c r="O85" s="2"/>
      <c r="P85" s="2"/>
      <c r="Q85" s="2"/>
      <c r="R85" s="2"/>
      <c r="S85" s="2"/>
      <c r="T85" s="2"/>
      <c r="U85" s="2"/>
      <c r="V85" s="2"/>
      <c r="W85" s="2"/>
      <c r="X85" s="2"/>
      <c r="Y85" s="2"/>
      <c r="Z85" s="2"/>
    </row>
    <row r="86" ht="15.75" customHeight="1">
      <c r="A86" s="1"/>
      <c r="B86" s="1"/>
      <c r="C86" s="1"/>
      <c r="D86" s="1"/>
      <c r="E86" s="1"/>
      <c r="F86" s="1"/>
      <c r="G86" s="1"/>
      <c r="H86" s="1"/>
      <c r="I86" s="2"/>
      <c r="J86" s="2"/>
      <c r="K86" s="2"/>
      <c r="L86" s="2"/>
      <c r="M86" s="2"/>
      <c r="N86" s="2"/>
      <c r="O86" s="2"/>
      <c r="P86" s="2"/>
      <c r="Q86" s="2"/>
      <c r="R86" s="2"/>
      <c r="S86" s="2"/>
      <c r="T86" s="2"/>
      <c r="U86" s="2"/>
      <c r="V86" s="2"/>
      <c r="W86" s="2"/>
      <c r="X86" s="2"/>
      <c r="Y86" s="2"/>
      <c r="Z86" s="2"/>
    </row>
    <row r="87" ht="15.75" customHeight="1">
      <c r="A87" s="1"/>
      <c r="B87" s="1"/>
      <c r="C87" s="1"/>
      <c r="D87" s="1"/>
      <c r="E87" s="1"/>
      <c r="F87" s="1"/>
      <c r="G87" s="1"/>
      <c r="H87" s="1"/>
      <c r="I87" s="2"/>
      <c r="J87" s="2"/>
      <c r="K87" s="2"/>
      <c r="L87" s="2"/>
      <c r="M87" s="2"/>
      <c r="N87" s="2"/>
      <c r="O87" s="2"/>
      <c r="P87" s="2"/>
      <c r="Q87" s="2"/>
      <c r="R87" s="2"/>
      <c r="S87" s="2"/>
      <c r="T87" s="2"/>
      <c r="U87" s="2"/>
      <c r="V87" s="2"/>
      <c r="W87" s="2"/>
      <c r="X87" s="2"/>
      <c r="Y87" s="2"/>
      <c r="Z87" s="2"/>
    </row>
    <row r="88" ht="15.75" customHeight="1">
      <c r="A88" s="1"/>
      <c r="B88" s="1"/>
      <c r="C88" s="1"/>
      <c r="D88" s="1"/>
      <c r="E88" s="1"/>
      <c r="F88" s="1"/>
      <c r="G88" s="1"/>
      <c r="H88" s="1"/>
      <c r="I88" s="2"/>
      <c r="J88" s="2"/>
      <c r="K88" s="2"/>
      <c r="L88" s="2"/>
      <c r="M88" s="2"/>
      <c r="N88" s="2"/>
      <c r="O88" s="2"/>
      <c r="P88" s="2"/>
      <c r="Q88" s="2"/>
      <c r="R88" s="2"/>
      <c r="S88" s="2"/>
      <c r="T88" s="2"/>
      <c r="U88" s="2"/>
      <c r="V88" s="2"/>
      <c r="W88" s="2"/>
      <c r="X88" s="2"/>
      <c r="Y88" s="2"/>
      <c r="Z88" s="2"/>
    </row>
    <row r="89" ht="15.75" customHeight="1">
      <c r="A89" s="1"/>
      <c r="B89" s="1"/>
      <c r="C89" s="1"/>
      <c r="D89" s="1"/>
      <c r="E89" s="1"/>
      <c r="F89" s="1"/>
      <c r="G89" s="1"/>
      <c r="H89" s="1"/>
      <c r="I89" s="2"/>
      <c r="J89" s="2"/>
      <c r="K89" s="2"/>
      <c r="L89" s="2"/>
      <c r="M89" s="2"/>
      <c r="N89" s="2"/>
      <c r="O89" s="2"/>
      <c r="P89" s="2"/>
      <c r="Q89" s="2"/>
      <c r="R89" s="2"/>
      <c r="S89" s="2"/>
      <c r="T89" s="2"/>
      <c r="U89" s="2"/>
      <c r="V89" s="2"/>
      <c r="W89" s="2"/>
      <c r="X89" s="2"/>
      <c r="Y89" s="2"/>
      <c r="Z89" s="2"/>
    </row>
    <row r="90" ht="15.75" customHeight="1">
      <c r="A90" s="1"/>
      <c r="B90" s="1"/>
      <c r="C90" s="1"/>
      <c r="D90" s="1"/>
      <c r="E90" s="1"/>
      <c r="F90" s="1"/>
      <c r="G90" s="1"/>
      <c r="H90" s="1"/>
      <c r="I90" s="2"/>
      <c r="J90" s="2"/>
      <c r="K90" s="2"/>
      <c r="L90" s="2"/>
      <c r="M90" s="2"/>
      <c r="N90" s="2"/>
      <c r="O90" s="2"/>
      <c r="P90" s="2"/>
      <c r="Q90" s="2"/>
      <c r="R90" s="2"/>
      <c r="S90" s="2"/>
      <c r="T90" s="2"/>
      <c r="U90" s="2"/>
      <c r="V90" s="2"/>
      <c r="W90" s="2"/>
      <c r="X90" s="2"/>
      <c r="Y90" s="2"/>
      <c r="Z90" s="2"/>
    </row>
    <row r="91" ht="15.75" customHeight="1">
      <c r="A91" s="1"/>
      <c r="B91" s="1"/>
      <c r="C91" s="1"/>
      <c r="D91" s="1"/>
      <c r="E91" s="1"/>
      <c r="F91" s="1"/>
      <c r="G91" s="1"/>
      <c r="H91" s="1"/>
      <c r="I91" s="2"/>
      <c r="J91" s="2"/>
      <c r="K91" s="2"/>
      <c r="L91" s="2"/>
      <c r="M91" s="2"/>
      <c r="N91" s="2"/>
      <c r="O91" s="2"/>
      <c r="P91" s="2"/>
      <c r="Q91" s="2"/>
      <c r="R91" s="2"/>
      <c r="S91" s="2"/>
      <c r="T91" s="2"/>
      <c r="U91" s="2"/>
      <c r="V91" s="2"/>
      <c r="W91" s="2"/>
      <c r="X91" s="2"/>
      <c r="Y91" s="2"/>
      <c r="Z91" s="2"/>
    </row>
    <row r="92" ht="15.75" customHeight="1">
      <c r="A92" s="1"/>
      <c r="B92" s="1"/>
      <c r="C92" s="1"/>
      <c r="D92" s="1"/>
      <c r="E92" s="1"/>
      <c r="F92" s="1"/>
      <c r="G92" s="1"/>
      <c r="H92" s="1"/>
      <c r="I92" s="2"/>
      <c r="J92" s="2"/>
      <c r="K92" s="2"/>
      <c r="L92" s="2"/>
      <c r="M92" s="2"/>
      <c r="N92" s="2"/>
      <c r="O92" s="2"/>
      <c r="P92" s="2"/>
      <c r="Q92" s="2"/>
      <c r="R92" s="2"/>
      <c r="S92" s="2"/>
      <c r="T92" s="2"/>
      <c r="U92" s="2"/>
      <c r="V92" s="2"/>
      <c r="W92" s="2"/>
      <c r="X92" s="2"/>
      <c r="Y92" s="2"/>
      <c r="Z92" s="2"/>
    </row>
    <row r="93" ht="15.75" customHeight="1">
      <c r="A93" s="1"/>
      <c r="B93" s="1"/>
      <c r="C93" s="1"/>
      <c r="D93" s="1"/>
      <c r="E93" s="1"/>
      <c r="F93" s="1"/>
      <c r="G93" s="1"/>
      <c r="H93" s="1"/>
      <c r="I93" s="2"/>
      <c r="J93" s="2"/>
      <c r="K93" s="2"/>
      <c r="L93" s="2"/>
      <c r="M93" s="2"/>
      <c r="N93" s="2"/>
      <c r="O93" s="2"/>
      <c r="P93" s="2"/>
      <c r="Q93" s="2"/>
      <c r="R93" s="2"/>
      <c r="S93" s="2"/>
      <c r="T93" s="2"/>
      <c r="U93" s="2"/>
      <c r="V93" s="2"/>
      <c r="W93" s="2"/>
      <c r="X93" s="2"/>
      <c r="Y93" s="2"/>
      <c r="Z93" s="2"/>
    </row>
    <row r="94" ht="15.75" customHeight="1">
      <c r="A94" s="1"/>
      <c r="B94" s="1"/>
      <c r="C94" s="1"/>
      <c r="D94" s="1"/>
      <c r="E94" s="1"/>
      <c r="F94" s="1"/>
      <c r="G94" s="1"/>
      <c r="H94" s="1"/>
      <c r="I94" s="2"/>
      <c r="J94" s="2"/>
      <c r="K94" s="2"/>
      <c r="L94" s="2"/>
      <c r="M94" s="2"/>
      <c r="N94" s="2"/>
      <c r="O94" s="2"/>
      <c r="P94" s="2"/>
      <c r="Q94" s="2"/>
      <c r="R94" s="2"/>
      <c r="S94" s="2"/>
      <c r="T94" s="2"/>
      <c r="U94" s="2"/>
      <c r="V94" s="2"/>
      <c r="W94" s="2"/>
      <c r="X94" s="2"/>
      <c r="Y94" s="2"/>
      <c r="Z94" s="2"/>
    </row>
    <row r="95" ht="15.75" customHeight="1">
      <c r="A95" s="1"/>
      <c r="B95" s="1"/>
      <c r="C95" s="1"/>
      <c r="D95" s="1"/>
      <c r="E95" s="1"/>
      <c r="F95" s="1"/>
      <c r="G95" s="1"/>
      <c r="H95" s="1"/>
      <c r="I95" s="2"/>
      <c r="J95" s="2"/>
      <c r="K95" s="2"/>
      <c r="L95" s="2"/>
      <c r="M95" s="2"/>
      <c r="N95" s="2"/>
      <c r="O95" s="2"/>
      <c r="P95" s="2"/>
      <c r="Q95" s="2"/>
      <c r="R95" s="2"/>
      <c r="S95" s="2"/>
      <c r="T95" s="2"/>
      <c r="U95" s="2"/>
      <c r="V95" s="2"/>
      <c r="W95" s="2"/>
      <c r="X95" s="2"/>
      <c r="Y95" s="2"/>
      <c r="Z95" s="2"/>
    </row>
    <row r="96" ht="15.75" customHeight="1">
      <c r="A96" s="1"/>
      <c r="B96" s="1"/>
      <c r="C96" s="1"/>
      <c r="D96" s="1"/>
      <c r="E96" s="1"/>
      <c r="F96" s="1"/>
      <c r="G96" s="1"/>
      <c r="H96" s="1"/>
      <c r="I96" s="2"/>
      <c r="J96" s="2"/>
      <c r="K96" s="2"/>
      <c r="L96" s="2"/>
      <c r="M96" s="2"/>
      <c r="N96" s="2"/>
      <c r="O96" s="2"/>
      <c r="P96" s="2"/>
      <c r="Q96" s="2"/>
      <c r="R96" s="2"/>
      <c r="S96" s="2"/>
      <c r="T96" s="2"/>
      <c r="U96" s="2"/>
      <c r="V96" s="2"/>
      <c r="W96" s="2"/>
      <c r="X96" s="2"/>
      <c r="Y96" s="2"/>
      <c r="Z96" s="2"/>
    </row>
    <row r="97" ht="15.75" customHeight="1">
      <c r="A97" s="1"/>
      <c r="B97" s="1"/>
      <c r="C97" s="1"/>
      <c r="D97" s="1"/>
      <c r="E97" s="1"/>
      <c r="F97" s="1"/>
      <c r="G97" s="1"/>
      <c r="H97" s="1"/>
      <c r="I97" s="2"/>
      <c r="J97" s="2"/>
      <c r="K97" s="2"/>
      <c r="L97" s="2"/>
      <c r="M97" s="2"/>
      <c r="N97" s="2"/>
      <c r="O97" s="2"/>
      <c r="P97" s="2"/>
      <c r="Q97" s="2"/>
      <c r="R97" s="2"/>
      <c r="S97" s="2"/>
      <c r="T97" s="2"/>
      <c r="U97" s="2"/>
      <c r="V97" s="2"/>
      <c r="W97" s="2"/>
      <c r="X97" s="2"/>
      <c r="Y97" s="2"/>
      <c r="Z97" s="2"/>
    </row>
    <row r="98" ht="15.75" customHeight="1">
      <c r="A98" s="1"/>
      <c r="B98" s="1"/>
      <c r="C98" s="1"/>
      <c r="D98" s="1"/>
      <c r="E98" s="1"/>
      <c r="F98" s="1"/>
      <c r="G98" s="1"/>
      <c r="H98" s="1"/>
      <c r="I98" s="2"/>
      <c r="J98" s="2"/>
      <c r="K98" s="2"/>
      <c r="L98" s="2"/>
      <c r="M98" s="2"/>
      <c r="N98" s="2"/>
      <c r="O98" s="2"/>
      <c r="P98" s="2"/>
      <c r="Q98" s="2"/>
      <c r="R98" s="2"/>
      <c r="S98" s="2"/>
      <c r="T98" s="2"/>
      <c r="U98" s="2"/>
      <c r="V98" s="2"/>
      <c r="W98" s="2"/>
      <c r="X98" s="2"/>
      <c r="Y98" s="2"/>
      <c r="Z98" s="2"/>
    </row>
    <row r="99" ht="15.75" customHeight="1">
      <c r="A99" s="1"/>
      <c r="B99" s="1"/>
      <c r="C99" s="1"/>
      <c r="D99" s="1"/>
      <c r="E99" s="1"/>
      <c r="F99" s="1"/>
      <c r="G99" s="1"/>
      <c r="H99" s="1"/>
      <c r="I99" s="2"/>
      <c r="J99" s="2"/>
      <c r="K99" s="2"/>
      <c r="L99" s="2"/>
      <c r="M99" s="2"/>
      <c r="N99" s="2"/>
      <c r="O99" s="2"/>
      <c r="P99" s="2"/>
      <c r="Q99" s="2"/>
      <c r="R99" s="2"/>
      <c r="S99" s="2"/>
      <c r="T99" s="2"/>
      <c r="U99" s="2"/>
      <c r="V99" s="2"/>
      <c r="W99" s="2"/>
      <c r="X99" s="2"/>
      <c r="Y99" s="2"/>
      <c r="Z99" s="2"/>
    </row>
    <row r="100" ht="15.75" customHeight="1">
      <c r="A100" s="1"/>
      <c r="B100" s="1"/>
      <c r="C100" s="1"/>
      <c r="D100" s="1"/>
      <c r="E100" s="1"/>
      <c r="F100" s="1"/>
      <c r="G100" s="1"/>
      <c r="H100" s="1"/>
      <c r="I100" s="2"/>
      <c r="J100" s="2"/>
      <c r="K100" s="2"/>
      <c r="L100" s="2"/>
      <c r="M100" s="2"/>
      <c r="N100" s="2"/>
      <c r="O100" s="2"/>
      <c r="P100" s="2"/>
      <c r="Q100" s="2"/>
      <c r="R100" s="2"/>
      <c r="S100" s="2"/>
      <c r="T100" s="2"/>
      <c r="U100" s="2"/>
      <c r="V100" s="2"/>
      <c r="W100" s="2"/>
      <c r="X100" s="2"/>
      <c r="Y100" s="2"/>
      <c r="Z100" s="2"/>
    </row>
    <row r="101" ht="15.75" customHeight="1">
      <c r="A101" s="1"/>
      <c r="B101" s="1"/>
      <c r="C101" s="1"/>
      <c r="D101" s="1"/>
      <c r="E101" s="1"/>
      <c r="F101" s="1"/>
      <c r="G101" s="1"/>
      <c r="H101" s="1"/>
      <c r="I101" s="2"/>
      <c r="J101" s="2"/>
      <c r="K101" s="2"/>
      <c r="L101" s="2"/>
      <c r="M101" s="2"/>
      <c r="N101" s="2"/>
      <c r="O101" s="2"/>
      <c r="P101" s="2"/>
      <c r="Q101" s="2"/>
      <c r="R101" s="2"/>
      <c r="S101" s="2"/>
      <c r="T101" s="2"/>
      <c r="U101" s="2"/>
      <c r="V101" s="2"/>
      <c r="W101" s="2"/>
      <c r="X101" s="2"/>
      <c r="Y101" s="2"/>
      <c r="Z101" s="2"/>
    </row>
    <row r="102" ht="15.75" customHeight="1">
      <c r="A102" s="1"/>
      <c r="B102" s="1"/>
      <c r="C102" s="1"/>
      <c r="D102" s="1"/>
      <c r="E102" s="1"/>
      <c r="F102" s="1"/>
      <c r="G102" s="1"/>
      <c r="H102" s="1"/>
      <c r="I102" s="2"/>
      <c r="J102" s="2"/>
      <c r="K102" s="2"/>
      <c r="L102" s="2"/>
      <c r="M102" s="2"/>
      <c r="N102" s="2"/>
      <c r="O102" s="2"/>
      <c r="P102" s="2"/>
      <c r="Q102" s="2"/>
      <c r="R102" s="2"/>
      <c r="S102" s="2"/>
      <c r="T102" s="2"/>
      <c r="U102" s="2"/>
      <c r="V102" s="2"/>
      <c r="W102" s="2"/>
      <c r="X102" s="2"/>
      <c r="Y102" s="2"/>
      <c r="Z102" s="2"/>
    </row>
    <row r="103" ht="15.75" customHeight="1">
      <c r="A103" s="1"/>
      <c r="B103" s="1"/>
      <c r="C103" s="1"/>
      <c r="D103" s="1"/>
      <c r="E103" s="1"/>
      <c r="F103" s="1"/>
      <c r="G103" s="1"/>
      <c r="H103" s="1"/>
      <c r="I103" s="2"/>
      <c r="J103" s="2"/>
      <c r="K103" s="2"/>
      <c r="L103" s="2"/>
      <c r="M103" s="2"/>
      <c r="N103" s="2"/>
      <c r="O103" s="2"/>
      <c r="P103" s="2"/>
      <c r="Q103" s="2"/>
      <c r="R103" s="2"/>
      <c r="S103" s="2"/>
      <c r="T103" s="2"/>
      <c r="U103" s="2"/>
      <c r="V103" s="2"/>
      <c r="W103" s="2"/>
      <c r="X103" s="2"/>
      <c r="Y103" s="2"/>
      <c r="Z103" s="2"/>
    </row>
    <row r="104" ht="15.75" customHeight="1">
      <c r="A104" s="1"/>
      <c r="B104" s="1"/>
      <c r="C104" s="1"/>
      <c r="D104" s="1"/>
      <c r="E104" s="1"/>
      <c r="F104" s="1"/>
      <c r="G104" s="1"/>
      <c r="H104" s="1"/>
      <c r="I104" s="2"/>
      <c r="J104" s="2"/>
      <c r="K104" s="2"/>
      <c r="L104" s="2"/>
      <c r="M104" s="2"/>
      <c r="N104" s="2"/>
      <c r="O104" s="2"/>
      <c r="P104" s="2"/>
      <c r="Q104" s="2"/>
      <c r="R104" s="2"/>
      <c r="S104" s="2"/>
      <c r="T104" s="2"/>
      <c r="U104" s="2"/>
      <c r="V104" s="2"/>
      <c r="W104" s="2"/>
      <c r="X104" s="2"/>
      <c r="Y104" s="2"/>
      <c r="Z104" s="2"/>
    </row>
    <row r="105" ht="15.75" customHeight="1">
      <c r="A105" s="1"/>
      <c r="B105" s="1"/>
      <c r="C105" s="1"/>
      <c r="D105" s="1"/>
      <c r="E105" s="1"/>
      <c r="F105" s="1"/>
      <c r="G105" s="1"/>
      <c r="H105" s="1"/>
      <c r="I105" s="2"/>
      <c r="J105" s="2"/>
      <c r="K105" s="2"/>
      <c r="L105" s="2"/>
      <c r="M105" s="2"/>
      <c r="N105" s="2"/>
      <c r="O105" s="2"/>
      <c r="P105" s="2"/>
      <c r="Q105" s="2"/>
      <c r="R105" s="2"/>
      <c r="S105" s="2"/>
      <c r="T105" s="2"/>
      <c r="U105" s="2"/>
      <c r="V105" s="2"/>
      <c r="W105" s="2"/>
      <c r="X105" s="2"/>
      <c r="Y105" s="2"/>
      <c r="Z105" s="2"/>
    </row>
    <row r="106" ht="15.75" customHeight="1">
      <c r="A106" s="1"/>
      <c r="B106" s="1"/>
      <c r="C106" s="1"/>
      <c r="D106" s="1"/>
      <c r="E106" s="1"/>
      <c r="F106" s="1"/>
      <c r="G106" s="1"/>
      <c r="H106" s="1"/>
      <c r="I106" s="2"/>
      <c r="J106" s="2"/>
      <c r="K106" s="2"/>
      <c r="L106" s="2"/>
      <c r="M106" s="2"/>
      <c r="N106" s="2"/>
      <c r="O106" s="2"/>
      <c r="P106" s="2"/>
      <c r="Q106" s="2"/>
      <c r="R106" s="2"/>
      <c r="S106" s="2"/>
      <c r="T106" s="2"/>
      <c r="U106" s="2"/>
      <c r="V106" s="2"/>
      <c r="W106" s="2"/>
      <c r="X106" s="2"/>
      <c r="Y106" s="2"/>
      <c r="Z106" s="2"/>
    </row>
    <row r="107" ht="15.75" customHeight="1">
      <c r="A107" s="1"/>
      <c r="B107" s="1"/>
      <c r="C107" s="1"/>
      <c r="D107" s="1"/>
      <c r="E107" s="1"/>
      <c r="F107" s="1"/>
      <c r="G107" s="1"/>
      <c r="H107" s="1"/>
      <c r="I107" s="2"/>
      <c r="J107" s="2"/>
      <c r="K107" s="2"/>
      <c r="L107" s="2"/>
      <c r="M107" s="2"/>
      <c r="N107" s="2"/>
      <c r="O107" s="2"/>
      <c r="P107" s="2"/>
      <c r="Q107" s="2"/>
      <c r="R107" s="2"/>
      <c r="S107" s="2"/>
      <c r="T107" s="2"/>
      <c r="U107" s="2"/>
      <c r="V107" s="2"/>
      <c r="W107" s="2"/>
      <c r="X107" s="2"/>
      <c r="Y107" s="2"/>
      <c r="Z107" s="2"/>
    </row>
    <row r="108" ht="15.75" customHeight="1">
      <c r="A108" s="1"/>
      <c r="B108" s="1"/>
      <c r="C108" s="1"/>
      <c r="D108" s="1"/>
      <c r="E108" s="1"/>
      <c r="F108" s="1"/>
      <c r="G108" s="1"/>
      <c r="H108" s="1"/>
      <c r="I108" s="2"/>
      <c r="J108" s="2"/>
      <c r="K108" s="2"/>
      <c r="L108" s="2"/>
      <c r="M108" s="2"/>
      <c r="N108" s="2"/>
      <c r="O108" s="2"/>
      <c r="P108" s="2"/>
      <c r="Q108" s="2"/>
      <c r="R108" s="2"/>
      <c r="S108" s="2"/>
      <c r="T108" s="2"/>
      <c r="U108" s="2"/>
      <c r="V108" s="2"/>
      <c r="W108" s="2"/>
      <c r="X108" s="2"/>
      <c r="Y108" s="2"/>
      <c r="Z108" s="2"/>
    </row>
    <row r="109" ht="15.75" customHeight="1">
      <c r="A109" s="1"/>
      <c r="B109" s="1"/>
      <c r="C109" s="1"/>
      <c r="D109" s="1"/>
      <c r="E109" s="1"/>
      <c r="F109" s="1"/>
      <c r="G109" s="1"/>
      <c r="H109" s="1"/>
      <c r="I109" s="2"/>
      <c r="J109" s="2"/>
      <c r="K109" s="2"/>
      <c r="L109" s="2"/>
      <c r="M109" s="2"/>
      <c r="N109" s="2"/>
      <c r="O109" s="2"/>
      <c r="P109" s="2"/>
      <c r="Q109" s="2"/>
      <c r="R109" s="2"/>
      <c r="S109" s="2"/>
      <c r="T109" s="2"/>
      <c r="U109" s="2"/>
      <c r="V109" s="2"/>
      <c r="W109" s="2"/>
      <c r="X109" s="2"/>
      <c r="Y109" s="2"/>
      <c r="Z109" s="2"/>
    </row>
    <row r="110" ht="15.75" customHeight="1">
      <c r="A110" s="1"/>
      <c r="B110" s="1"/>
      <c r="C110" s="1"/>
      <c r="D110" s="1"/>
      <c r="E110" s="1"/>
      <c r="F110" s="1"/>
      <c r="G110" s="1"/>
      <c r="H110" s="1"/>
      <c r="I110" s="2"/>
      <c r="J110" s="2"/>
      <c r="K110" s="2"/>
      <c r="L110" s="2"/>
      <c r="M110" s="2"/>
      <c r="N110" s="2"/>
      <c r="O110" s="2"/>
      <c r="P110" s="2"/>
      <c r="Q110" s="2"/>
      <c r="R110" s="2"/>
      <c r="S110" s="2"/>
      <c r="T110" s="2"/>
      <c r="U110" s="2"/>
      <c r="V110" s="2"/>
      <c r="W110" s="2"/>
      <c r="X110" s="2"/>
      <c r="Y110" s="2"/>
      <c r="Z110" s="2"/>
    </row>
    <row r="111" ht="15.75" customHeight="1">
      <c r="A111" s="1"/>
      <c r="B111" s="1"/>
      <c r="C111" s="1"/>
      <c r="D111" s="1"/>
      <c r="E111" s="1"/>
      <c r="F111" s="1"/>
      <c r="G111" s="1"/>
      <c r="H111" s="1"/>
      <c r="I111" s="2"/>
      <c r="J111" s="2"/>
      <c r="K111" s="2"/>
      <c r="L111" s="2"/>
      <c r="M111" s="2"/>
      <c r="N111" s="2"/>
      <c r="O111" s="2"/>
      <c r="P111" s="2"/>
      <c r="Q111" s="2"/>
      <c r="R111" s="2"/>
      <c r="S111" s="2"/>
      <c r="T111" s="2"/>
      <c r="U111" s="2"/>
      <c r="V111" s="2"/>
      <c r="W111" s="2"/>
      <c r="X111" s="2"/>
      <c r="Y111" s="2"/>
      <c r="Z111" s="2"/>
    </row>
    <row r="112" ht="15.75" customHeight="1">
      <c r="A112" s="1"/>
      <c r="B112" s="1"/>
      <c r="C112" s="1"/>
      <c r="D112" s="1"/>
      <c r="E112" s="1"/>
      <c r="F112" s="1"/>
      <c r="G112" s="1"/>
      <c r="H112" s="1"/>
      <c r="I112" s="2"/>
      <c r="J112" s="2"/>
      <c r="K112" s="2"/>
      <c r="L112" s="2"/>
      <c r="M112" s="2"/>
      <c r="N112" s="2"/>
      <c r="O112" s="2"/>
      <c r="P112" s="2"/>
      <c r="Q112" s="2"/>
      <c r="R112" s="2"/>
      <c r="S112" s="2"/>
      <c r="T112" s="2"/>
      <c r="U112" s="2"/>
      <c r="V112" s="2"/>
      <c r="W112" s="2"/>
      <c r="X112" s="2"/>
      <c r="Y112" s="2"/>
      <c r="Z112" s="2"/>
    </row>
    <row r="113" ht="15.75" customHeight="1">
      <c r="A113" s="1"/>
      <c r="B113" s="1"/>
      <c r="C113" s="1"/>
      <c r="D113" s="1"/>
      <c r="E113" s="1"/>
      <c r="F113" s="1"/>
      <c r="G113" s="1"/>
      <c r="H113" s="1"/>
      <c r="I113" s="2"/>
      <c r="J113" s="2"/>
      <c r="K113" s="2"/>
      <c r="L113" s="2"/>
      <c r="M113" s="2"/>
      <c r="N113" s="2"/>
      <c r="O113" s="2"/>
      <c r="P113" s="2"/>
      <c r="Q113" s="2"/>
      <c r="R113" s="2"/>
      <c r="S113" s="2"/>
      <c r="T113" s="2"/>
      <c r="U113" s="2"/>
      <c r="V113" s="2"/>
      <c r="W113" s="2"/>
      <c r="X113" s="2"/>
      <c r="Y113" s="2"/>
      <c r="Z113" s="2"/>
    </row>
    <row r="114" ht="15.75" customHeight="1">
      <c r="A114" s="1"/>
      <c r="B114" s="1"/>
      <c r="C114" s="1"/>
      <c r="D114" s="1"/>
      <c r="E114" s="1"/>
      <c r="F114" s="1"/>
      <c r="G114" s="1"/>
      <c r="H114" s="1"/>
      <c r="I114" s="2"/>
      <c r="J114" s="2"/>
      <c r="K114" s="2"/>
      <c r="L114" s="2"/>
      <c r="M114" s="2"/>
      <c r="N114" s="2"/>
      <c r="O114" s="2"/>
      <c r="P114" s="2"/>
      <c r="Q114" s="2"/>
      <c r="R114" s="2"/>
      <c r="S114" s="2"/>
      <c r="T114" s="2"/>
      <c r="U114" s="2"/>
      <c r="V114" s="2"/>
      <c r="W114" s="2"/>
      <c r="X114" s="2"/>
      <c r="Y114" s="2"/>
      <c r="Z114" s="2"/>
    </row>
    <row r="115" ht="15.75" customHeight="1">
      <c r="A115" s="1"/>
      <c r="B115" s="1"/>
      <c r="C115" s="1"/>
      <c r="D115" s="1"/>
      <c r="E115" s="1"/>
      <c r="F115" s="1"/>
      <c r="G115" s="1"/>
      <c r="H115" s="1"/>
      <c r="I115" s="2"/>
      <c r="J115" s="2"/>
      <c r="K115" s="2"/>
      <c r="L115" s="2"/>
      <c r="M115" s="2"/>
      <c r="N115" s="2"/>
      <c r="O115" s="2"/>
      <c r="P115" s="2"/>
      <c r="Q115" s="2"/>
      <c r="R115" s="2"/>
      <c r="S115" s="2"/>
      <c r="T115" s="2"/>
      <c r="U115" s="2"/>
      <c r="V115" s="2"/>
      <c r="W115" s="2"/>
      <c r="X115" s="2"/>
      <c r="Y115" s="2"/>
      <c r="Z115" s="2"/>
    </row>
    <row r="116" ht="15.75" customHeight="1">
      <c r="A116" s="1"/>
      <c r="B116" s="1"/>
      <c r="C116" s="1"/>
      <c r="D116" s="1"/>
      <c r="E116" s="1"/>
      <c r="F116" s="1"/>
      <c r="G116" s="1"/>
      <c r="H116" s="1"/>
      <c r="I116" s="2"/>
      <c r="J116" s="2"/>
      <c r="K116" s="2"/>
      <c r="L116" s="2"/>
      <c r="M116" s="2"/>
      <c r="N116" s="2"/>
      <c r="O116" s="2"/>
      <c r="P116" s="2"/>
      <c r="Q116" s="2"/>
      <c r="R116" s="2"/>
      <c r="S116" s="2"/>
      <c r="T116" s="2"/>
      <c r="U116" s="2"/>
      <c r="V116" s="2"/>
      <c r="W116" s="2"/>
      <c r="X116" s="2"/>
      <c r="Y116" s="2"/>
      <c r="Z116" s="2"/>
    </row>
    <row r="117" ht="15.75" customHeight="1">
      <c r="A117" s="1"/>
      <c r="B117" s="1"/>
      <c r="C117" s="1"/>
      <c r="D117" s="1"/>
      <c r="E117" s="1"/>
      <c r="F117" s="1"/>
      <c r="G117" s="1"/>
      <c r="H117" s="1"/>
      <c r="I117" s="2"/>
      <c r="J117" s="2"/>
      <c r="K117" s="2"/>
      <c r="L117" s="2"/>
      <c r="M117" s="2"/>
      <c r="N117" s="2"/>
      <c r="O117" s="2"/>
      <c r="P117" s="2"/>
      <c r="Q117" s="2"/>
      <c r="R117" s="2"/>
      <c r="S117" s="2"/>
      <c r="T117" s="2"/>
      <c r="U117" s="2"/>
      <c r="V117" s="2"/>
      <c r="W117" s="2"/>
      <c r="X117" s="2"/>
      <c r="Y117" s="2"/>
      <c r="Z117" s="2"/>
    </row>
    <row r="118" ht="15.75" customHeight="1">
      <c r="A118" s="1"/>
      <c r="B118" s="1"/>
      <c r="C118" s="1"/>
      <c r="D118" s="1"/>
      <c r="E118" s="1"/>
      <c r="F118" s="1"/>
      <c r="G118" s="1"/>
      <c r="H118" s="1"/>
      <c r="I118" s="2"/>
      <c r="J118" s="2"/>
      <c r="K118" s="2"/>
      <c r="L118" s="2"/>
      <c r="M118" s="2"/>
      <c r="N118" s="2"/>
      <c r="O118" s="2"/>
      <c r="P118" s="2"/>
      <c r="Q118" s="2"/>
      <c r="R118" s="2"/>
      <c r="S118" s="2"/>
      <c r="T118" s="2"/>
      <c r="U118" s="2"/>
      <c r="V118" s="2"/>
      <c r="W118" s="2"/>
      <c r="X118" s="2"/>
      <c r="Y118" s="2"/>
      <c r="Z118" s="2"/>
    </row>
    <row r="119" ht="15.75" customHeight="1">
      <c r="A119" s="1"/>
      <c r="B119" s="1"/>
      <c r="C119" s="1"/>
      <c r="D119" s="1"/>
      <c r="E119" s="1"/>
      <c r="F119" s="1"/>
      <c r="G119" s="1"/>
      <c r="H119" s="1"/>
      <c r="I119" s="2"/>
      <c r="J119" s="2"/>
      <c r="K119" s="2"/>
      <c r="L119" s="2"/>
      <c r="M119" s="2"/>
      <c r="N119" s="2"/>
      <c r="O119" s="2"/>
      <c r="P119" s="2"/>
      <c r="Q119" s="2"/>
      <c r="R119" s="2"/>
      <c r="S119" s="2"/>
      <c r="T119" s="2"/>
      <c r="U119" s="2"/>
      <c r="V119" s="2"/>
      <c r="W119" s="2"/>
      <c r="X119" s="2"/>
      <c r="Y119" s="2"/>
      <c r="Z119" s="2"/>
    </row>
    <row r="120" ht="15.75" customHeight="1">
      <c r="A120" s="1"/>
      <c r="B120" s="1"/>
      <c r="C120" s="1"/>
      <c r="D120" s="1"/>
      <c r="E120" s="1"/>
      <c r="F120" s="1"/>
      <c r="G120" s="1"/>
      <c r="H120" s="1"/>
      <c r="I120" s="2"/>
      <c r="J120" s="2"/>
      <c r="K120" s="2"/>
      <c r="L120" s="2"/>
      <c r="M120" s="2"/>
      <c r="N120" s="2"/>
      <c r="O120" s="2"/>
      <c r="P120" s="2"/>
      <c r="Q120" s="2"/>
      <c r="R120" s="2"/>
      <c r="S120" s="2"/>
      <c r="T120" s="2"/>
      <c r="U120" s="2"/>
      <c r="V120" s="2"/>
      <c r="W120" s="2"/>
      <c r="X120" s="2"/>
      <c r="Y120" s="2"/>
      <c r="Z120" s="2"/>
    </row>
    <row r="121" ht="15.75" customHeight="1">
      <c r="A121" s="1"/>
      <c r="B121" s="1"/>
      <c r="C121" s="1"/>
      <c r="D121" s="1"/>
      <c r="E121" s="1"/>
      <c r="F121" s="1"/>
      <c r="G121" s="1"/>
      <c r="H121" s="1"/>
      <c r="I121" s="2"/>
      <c r="J121" s="2"/>
      <c r="K121" s="2"/>
      <c r="L121" s="2"/>
      <c r="M121" s="2"/>
      <c r="N121" s="2"/>
      <c r="O121" s="2"/>
      <c r="P121" s="2"/>
      <c r="Q121" s="2"/>
      <c r="R121" s="2"/>
      <c r="S121" s="2"/>
      <c r="T121" s="2"/>
      <c r="U121" s="2"/>
      <c r="V121" s="2"/>
      <c r="W121" s="2"/>
      <c r="X121" s="2"/>
      <c r="Y121" s="2"/>
      <c r="Z121" s="2"/>
    </row>
    <row r="122" ht="15.75" customHeight="1">
      <c r="A122" s="1"/>
      <c r="B122" s="1"/>
      <c r="C122" s="1"/>
      <c r="D122" s="1"/>
      <c r="E122" s="1"/>
      <c r="F122" s="1"/>
      <c r="G122" s="1"/>
      <c r="H122" s="1"/>
      <c r="I122" s="2"/>
      <c r="J122" s="2"/>
      <c r="K122" s="2"/>
      <c r="L122" s="2"/>
      <c r="M122" s="2"/>
      <c r="N122" s="2"/>
      <c r="O122" s="2"/>
      <c r="P122" s="2"/>
      <c r="Q122" s="2"/>
      <c r="R122" s="2"/>
      <c r="S122" s="2"/>
      <c r="T122" s="2"/>
      <c r="U122" s="2"/>
      <c r="V122" s="2"/>
      <c r="W122" s="2"/>
      <c r="X122" s="2"/>
      <c r="Y122" s="2"/>
      <c r="Z122" s="2"/>
    </row>
    <row r="123" ht="15.75" customHeight="1">
      <c r="A123" s="1"/>
      <c r="B123" s="1"/>
      <c r="C123" s="1"/>
      <c r="D123" s="1"/>
      <c r="E123" s="1"/>
      <c r="F123" s="1"/>
      <c r="G123" s="1"/>
      <c r="H123" s="1"/>
      <c r="I123" s="2"/>
      <c r="J123" s="2"/>
      <c r="K123" s="2"/>
      <c r="L123" s="2"/>
      <c r="M123" s="2"/>
      <c r="N123" s="2"/>
      <c r="O123" s="2"/>
      <c r="P123" s="2"/>
      <c r="Q123" s="2"/>
      <c r="R123" s="2"/>
      <c r="S123" s="2"/>
      <c r="T123" s="2"/>
      <c r="U123" s="2"/>
      <c r="V123" s="2"/>
      <c r="W123" s="2"/>
      <c r="X123" s="2"/>
      <c r="Y123" s="2"/>
      <c r="Z123" s="2"/>
    </row>
    <row r="124" ht="15.75" customHeight="1">
      <c r="A124" s="1"/>
      <c r="B124" s="1"/>
      <c r="C124" s="1"/>
      <c r="D124" s="1"/>
      <c r="E124" s="1"/>
      <c r="F124" s="1"/>
      <c r="G124" s="1"/>
      <c r="H124" s="1"/>
      <c r="I124" s="2"/>
      <c r="J124" s="2"/>
      <c r="K124" s="2"/>
      <c r="L124" s="2"/>
      <c r="M124" s="2"/>
      <c r="N124" s="2"/>
      <c r="O124" s="2"/>
      <c r="P124" s="2"/>
      <c r="Q124" s="2"/>
      <c r="R124" s="2"/>
      <c r="S124" s="2"/>
      <c r="T124" s="2"/>
      <c r="U124" s="2"/>
      <c r="V124" s="2"/>
      <c r="W124" s="2"/>
      <c r="X124" s="2"/>
      <c r="Y124" s="2"/>
      <c r="Z124" s="2"/>
    </row>
    <row r="125" ht="15.75" customHeight="1">
      <c r="A125" s="1"/>
      <c r="B125" s="1"/>
      <c r="C125" s="1"/>
      <c r="D125" s="1"/>
      <c r="E125" s="1"/>
      <c r="F125" s="1"/>
      <c r="G125" s="1"/>
      <c r="H125" s="1"/>
      <c r="I125" s="2"/>
      <c r="J125" s="2"/>
      <c r="K125" s="2"/>
      <c r="L125" s="2"/>
      <c r="M125" s="2"/>
      <c r="N125" s="2"/>
      <c r="O125" s="2"/>
      <c r="P125" s="2"/>
      <c r="Q125" s="2"/>
      <c r="R125" s="2"/>
      <c r="S125" s="2"/>
      <c r="T125" s="2"/>
      <c r="U125" s="2"/>
      <c r="V125" s="2"/>
      <c r="W125" s="2"/>
      <c r="X125" s="2"/>
      <c r="Y125" s="2"/>
      <c r="Z125" s="2"/>
    </row>
    <row r="126" ht="15.75" customHeight="1">
      <c r="A126" s="1"/>
      <c r="B126" s="1"/>
      <c r="C126" s="1"/>
      <c r="D126" s="1"/>
      <c r="E126" s="1"/>
      <c r="F126" s="1"/>
      <c r="G126" s="1"/>
      <c r="H126" s="1"/>
      <c r="I126" s="2"/>
      <c r="J126" s="2"/>
      <c r="K126" s="2"/>
      <c r="L126" s="2"/>
      <c r="M126" s="2"/>
      <c r="N126" s="2"/>
      <c r="O126" s="2"/>
      <c r="P126" s="2"/>
      <c r="Q126" s="2"/>
      <c r="R126" s="2"/>
      <c r="S126" s="2"/>
      <c r="T126" s="2"/>
      <c r="U126" s="2"/>
      <c r="V126" s="2"/>
      <c r="W126" s="2"/>
      <c r="X126" s="2"/>
      <c r="Y126" s="2"/>
      <c r="Z126" s="2"/>
    </row>
    <row r="127" ht="15.75" customHeight="1">
      <c r="A127" s="1"/>
      <c r="B127" s="1"/>
      <c r="C127" s="1"/>
      <c r="D127" s="1"/>
      <c r="E127" s="1"/>
      <c r="F127" s="1"/>
      <c r="G127" s="1"/>
      <c r="H127" s="1"/>
      <c r="I127" s="2"/>
      <c r="J127" s="2"/>
      <c r="K127" s="2"/>
      <c r="L127" s="2"/>
      <c r="M127" s="2"/>
      <c r="N127" s="2"/>
      <c r="O127" s="2"/>
      <c r="P127" s="2"/>
      <c r="Q127" s="2"/>
      <c r="R127" s="2"/>
      <c r="S127" s="2"/>
      <c r="T127" s="2"/>
      <c r="U127" s="2"/>
      <c r="V127" s="2"/>
      <c r="W127" s="2"/>
      <c r="X127" s="2"/>
      <c r="Y127" s="2"/>
      <c r="Z127" s="2"/>
    </row>
    <row r="128" ht="15.75" customHeight="1">
      <c r="A128" s="1"/>
      <c r="B128" s="1"/>
      <c r="C128" s="1"/>
      <c r="D128" s="1"/>
      <c r="E128" s="1"/>
      <c r="F128" s="1"/>
      <c r="G128" s="1"/>
      <c r="H128" s="1"/>
      <c r="I128" s="2"/>
      <c r="J128" s="2"/>
      <c r="K128" s="2"/>
      <c r="L128" s="2"/>
      <c r="M128" s="2"/>
      <c r="N128" s="2"/>
      <c r="O128" s="2"/>
      <c r="P128" s="2"/>
      <c r="Q128" s="2"/>
      <c r="R128" s="2"/>
      <c r="S128" s="2"/>
      <c r="T128" s="2"/>
      <c r="U128" s="2"/>
      <c r="V128" s="2"/>
      <c r="W128" s="2"/>
      <c r="X128" s="2"/>
      <c r="Y128" s="2"/>
      <c r="Z128" s="2"/>
    </row>
    <row r="129" ht="15.75" customHeight="1">
      <c r="A129" s="1"/>
      <c r="B129" s="1"/>
      <c r="C129" s="1"/>
      <c r="D129" s="1"/>
      <c r="E129" s="1"/>
      <c r="F129" s="1"/>
      <c r="G129" s="1"/>
      <c r="H129" s="1"/>
      <c r="I129" s="2"/>
      <c r="J129" s="2"/>
      <c r="K129" s="2"/>
      <c r="L129" s="2"/>
      <c r="M129" s="2"/>
      <c r="N129" s="2"/>
      <c r="O129" s="2"/>
      <c r="P129" s="2"/>
      <c r="Q129" s="2"/>
      <c r="R129" s="2"/>
      <c r="S129" s="2"/>
      <c r="T129" s="2"/>
      <c r="U129" s="2"/>
      <c r="V129" s="2"/>
      <c r="W129" s="2"/>
      <c r="X129" s="2"/>
      <c r="Y129" s="2"/>
      <c r="Z129" s="2"/>
    </row>
    <row r="130" ht="15.75" customHeight="1">
      <c r="A130" s="1"/>
      <c r="B130" s="1"/>
      <c r="C130" s="1"/>
      <c r="D130" s="1"/>
      <c r="E130" s="1"/>
      <c r="F130" s="1"/>
      <c r="G130" s="1"/>
      <c r="H130" s="1"/>
      <c r="I130" s="2"/>
      <c r="J130" s="2"/>
      <c r="K130" s="2"/>
      <c r="L130" s="2"/>
      <c r="M130" s="2"/>
      <c r="N130" s="2"/>
      <c r="O130" s="2"/>
      <c r="P130" s="2"/>
      <c r="Q130" s="2"/>
      <c r="R130" s="2"/>
      <c r="S130" s="2"/>
      <c r="T130" s="2"/>
      <c r="U130" s="2"/>
      <c r="V130" s="2"/>
      <c r="W130" s="2"/>
      <c r="X130" s="2"/>
      <c r="Y130" s="2"/>
      <c r="Z130" s="2"/>
    </row>
    <row r="131" ht="15.75" customHeight="1">
      <c r="A131" s="1"/>
      <c r="B131" s="1"/>
      <c r="C131" s="1"/>
      <c r="D131" s="1"/>
      <c r="E131" s="1"/>
      <c r="F131" s="1"/>
      <c r="G131" s="1"/>
      <c r="H131" s="1"/>
      <c r="I131" s="2"/>
      <c r="J131" s="2"/>
      <c r="K131" s="2"/>
      <c r="L131" s="2"/>
      <c r="M131" s="2"/>
      <c r="N131" s="2"/>
      <c r="O131" s="2"/>
      <c r="P131" s="2"/>
      <c r="Q131" s="2"/>
      <c r="R131" s="2"/>
      <c r="S131" s="2"/>
      <c r="T131" s="2"/>
      <c r="U131" s="2"/>
      <c r="V131" s="2"/>
      <c r="W131" s="2"/>
      <c r="X131" s="2"/>
      <c r="Y131" s="2"/>
      <c r="Z131" s="2"/>
    </row>
    <row r="132" ht="15.75" customHeight="1">
      <c r="A132" s="1"/>
      <c r="B132" s="1"/>
      <c r="C132" s="1"/>
      <c r="D132" s="1"/>
      <c r="E132" s="1"/>
      <c r="F132" s="1"/>
      <c r="G132" s="1"/>
      <c r="H132" s="1"/>
      <c r="I132" s="2"/>
      <c r="J132" s="2"/>
      <c r="K132" s="2"/>
      <c r="L132" s="2"/>
      <c r="M132" s="2"/>
      <c r="N132" s="2"/>
      <c r="O132" s="2"/>
      <c r="P132" s="2"/>
      <c r="Q132" s="2"/>
      <c r="R132" s="2"/>
      <c r="S132" s="2"/>
      <c r="T132" s="2"/>
      <c r="U132" s="2"/>
      <c r="V132" s="2"/>
      <c r="W132" s="2"/>
      <c r="X132" s="2"/>
      <c r="Y132" s="2"/>
      <c r="Z132" s="2"/>
    </row>
    <row r="133" ht="15.75" customHeight="1">
      <c r="A133" s="1"/>
      <c r="B133" s="1"/>
      <c r="C133" s="1"/>
      <c r="D133" s="1"/>
      <c r="E133" s="1"/>
      <c r="F133" s="1"/>
      <c r="G133" s="1"/>
      <c r="H133" s="1"/>
      <c r="I133" s="2"/>
      <c r="J133" s="2"/>
      <c r="K133" s="2"/>
      <c r="L133" s="2"/>
      <c r="M133" s="2"/>
      <c r="N133" s="2"/>
      <c r="O133" s="2"/>
      <c r="P133" s="2"/>
      <c r="Q133" s="2"/>
      <c r="R133" s="2"/>
      <c r="S133" s="2"/>
      <c r="T133" s="2"/>
      <c r="U133" s="2"/>
      <c r="V133" s="2"/>
      <c r="W133" s="2"/>
      <c r="X133" s="2"/>
      <c r="Y133" s="2"/>
      <c r="Z133" s="2"/>
    </row>
    <row r="134" ht="15.75" customHeight="1">
      <c r="A134" s="1"/>
      <c r="B134" s="1"/>
      <c r="C134" s="1"/>
      <c r="D134" s="1"/>
      <c r="E134" s="1"/>
      <c r="F134" s="1"/>
      <c r="G134" s="1"/>
      <c r="H134" s="1"/>
      <c r="I134" s="2"/>
      <c r="J134" s="2"/>
      <c r="K134" s="2"/>
      <c r="L134" s="2"/>
      <c r="M134" s="2"/>
      <c r="N134" s="2"/>
      <c r="O134" s="2"/>
      <c r="P134" s="2"/>
      <c r="Q134" s="2"/>
      <c r="R134" s="2"/>
      <c r="S134" s="2"/>
      <c r="T134" s="2"/>
      <c r="U134" s="2"/>
      <c r="V134" s="2"/>
      <c r="W134" s="2"/>
      <c r="X134" s="2"/>
      <c r="Y134" s="2"/>
      <c r="Z134" s="2"/>
    </row>
    <row r="135" ht="15.75" customHeight="1">
      <c r="A135" s="1"/>
      <c r="B135" s="1"/>
      <c r="C135" s="1"/>
      <c r="D135" s="1"/>
      <c r="E135" s="1"/>
      <c r="F135" s="1"/>
      <c r="G135" s="1"/>
      <c r="H135" s="1"/>
      <c r="I135" s="2"/>
      <c r="J135" s="2"/>
      <c r="K135" s="2"/>
      <c r="L135" s="2"/>
      <c r="M135" s="2"/>
      <c r="N135" s="2"/>
      <c r="O135" s="2"/>
      <c r="P135" s="2"/>
      <c r="Q135" s="2"/>
      <c r="R135" s="2"/>
      <c r="S135" s="2"/>
      <c r="T135" s="2"/>
      <c r="U135" s="2"/>
      <c r="V135" s="2"/>
      <c r="W135" s="2"/>
      <c r="X135" s="2"/>
      <c r="Y135" s="2"/>
      <c r="Z135" s="2"/>
    </row>
    <row r="136" ht="15.75" customHeight="1">
      <c r="A136" s="1"/>
      <c r="B136" s="1"/>
      <c r="C136" s="1"/>
      <c r="D136" s="1"/>
      <c r="E136" s="1"/>
      <c r="F136" s="1"/>
      <c r="G136" s="1"/>
      <c r="H136" s="1"/>
      <c r="I136" s="2"/>
      <c r="J136" s="2"/>
      <c r="K136" s="2"/>
      <c r="L136" s="2"/>
      <c r="M136" s="2"/>
      <c r="N136" s="2"/>
      <c r="O136" s="2"/>
      <c r="P136" s="2"/>
      <c r="Q136" s="2"/>
      <c r="R136" s="2"/>
      <c r="S136" s="2"/>
      <c r="T136" s="2"/>
      <c r="U136" s="2"/>
      <c r="V136" s="2"/>
      <c r="W136" s="2"/>
      <c r="X136" s="2"/>
      <c r="Y136" s="2"/>
      <c r="Z136" s="2"/>
    </row>
    <row r="137" ht="15.75" customHeight="1">
      <c r="A137" s="1"/>
      <c r="B137" s="1"/>
      <c r="C137" s="1"/>
      <c r="D137" s="1"/>
      <c r="E137" s="1"/>
      <c r="F137" s="1"/>
      <c r="G137" s="1"/>
      <c r="H137" s="1"/>
      <c r="I137" s="2"/>
      <c r="J137" s="2"/>
      <c r="K137" s="2"/>
      <c r="L137" s="2"/>
      <c r="M137" s="2"/>
      <c r="N137" s="2"/>
      <c r="O137" s="2"/>
      <c r="P137" s="2"/>
      <c r="Q137" s="2"/>
      <c r="R137" s="2"/>
      <c r="S137" s="2"/>
      <c r="T137" s="2"/>
      <c r="U137" s="2"/>
      <c r="V137" s="2"/>
      <c r="W137" s="2"/>
      <c r="X137" s="2"/>
      <c r="Y137" s="2"/>
      <c r="Z137" s="2"/>
    </row>
    <row r="138" ht="15.75" customHeight="1">
      <c r="A138" s="1"/>
      <c r="B138" s="1"/>
      <c r="C138" s="1"/>
      <c r="D138" s="1"/>
      <c r="E138" s="1"/>
      <c r="F138" s="1"/>
      <c r="G138" s="1"/>
      <c r="H138" s="1"/>
      <c r="I138" s="2"/>
      <c r="J138" s="2"/>
      <c r="K138" s="2"/>
      <c r="L138" s="2"/>
      <c r="M138" s="2"/>
      <c r="N138" s="2"/>
      <c r="O138" s="2"/>
      <c r="P138" s="2"/>
      <c r="Q138" s="2"/>
      <c r="R138" s="2"/>
      <c r="S138" s="2"/>
      <c r="T138" s="2"/>
      <c r="U138" s="2"/>
      <c r="V138" s="2"/>
      <c r="W138" s="2"/>
      <c r="X138" s="2"/>
      <c r="Y138" s="2"/>
      <c r="Z138" s="2"/>
    </row>
    <row r="139" ht="15.75" customHeight="1">
      <c r="A139" s="1"/>
      <c r="B139" s="1"/>
      <c r="C139" s="1"/>
      <c r="D139" s="1"/>
      <c r="E139" s="1"/>
      <c r="F139" s="1"/>
      <c r="G139" s="1"/>
      <c r="H139" s="1"/>
      <c r="I139" s="2"/>
      <c r="J139" s="2"/>
      <c r="K139" s="2"/>
      <c r="L139" s="2"/>
      <c r="M139" s="2"/>
      <c r="N139" s="2"/>
      <c r="O139" s="2"/>
      <c r="P139" s="2"/>
      <c r="Q139" s="2"/>
      <c r="R139" s="2"/>
      <c r="S139" s="2"/>
      <c r="T139" s="2"/>
      <c r="U139" s="2"/>
      <c r="V139" s="2"/>
      <c r="W139" s="2"/>
      <c r="X139" s="2"/>
      <c r="Y139" s="2"/>
      <c r="Z139" s="2"/>
    </row>
    <row r="140" ht="15.75" customHeight="1">
      <c r="A140" s="1"/>
      <c r="B140" s="1"/>
      <c r="C140" s="1"/>
      <c r="D140" s="1"/>
      <c r="E140" s="1"/>
      <c r="F140" s="1"/>
      <c r="G140" s="1"/>
      <c r="H140" s="1"/>
      <c r="I140" s="2"/>
      <c r="J140" s="2"/>
      <c r="K140" s="2"/>
      <c r="L140" s="2"/>
      <c r="M140" s="2"/>
      <c r="N140" s="2"/>
      <c r="O140" s="2"/>
      <c r="P140" s="2"/>
      <c r="Q140" s="2"/>
      <c r="R140" s="2"/>
      <c r="S140" s="2"/>
      <c r="T140" s="2"/>
      <c r="U140" s="2"/>
      <c r="V140" s="2"/>
      <c r="W140" s="2"/>
      <c r="X140" s="2"/>
      <c r="Y140" s="2"/>
      <c r="Z140" s="2"/>
    </row>
    <row r="141" ht="15.75" customHeight="1">
      <c r="A141" s="1"/>
      <c r="B141" s="1"/>
      <c r="C141" s="1"/>
      <c r="D141" s="1"/>
      <c r="E141" s="1"/>
      <c r="F141" s="1"/>
      <c r="G141" s="1"/>
      <c r="H141" s="1"/>
      <c r="I141" s="2"/>
      <c r="J141" s="2"/>
      <c r="K141" s="2"/>
      <c r="L141" s="2"/>
      <c r="M141" s="2"/>
      <c r="N141" s="2"/>
      <c r="O141" s="2"/>
      <c r="P141" s="2"/>
      <c r="Q141" s="2"/>
      <c r="R141" s="2"/>
      <c r="S141" s="2"/>
      <c r="T141" s="2"/>
      <c r="U141" s="2"/>
      <c r="V141" s="2"/>
      <c r="W141" s="2"/>
      <c r="X141" s="2"/>
      <c r="Y141" s="2"/>
      <c r="Z141" s="2"/>
    </row>
    <row r="142" ht="15.75" customHeight="1">
      <c r="A142" s="1"/>
      <c r="B142" s="1"/>
      <c r="C142" s="1"/>
      <c r="D142" s="1"/>
      <c r="E142" s="1"/>
      <c r="F142" s="1"/>
      <c r="G142" s="1"/>
      <c r="H142" s="1"/>
      <c r="I142" s="2"/>
      <c r="J142" s="2"/>
      <c r="K142" s="2"/>
      <c r="L142" s="2"/>
      <c r="M142" s="2"/>
      <c r="N142" s="2"/>
      <c r="O142" s="2"/>
      <c r="P142" s="2"/>
      <c r="Q142" s="2"/>
      <c r="R142" s="2"/>
      <c r="S142" s="2"/>
      <c r="T142" s="2"/>
      <c r="U142" s="2"/>
      <c r="V142" s="2"/>
      <c r="W142" s="2"/>
      <c r="X142" s="2"/>
      <c r="Y142" s="2"/>
      <c r="Z142" s="2"/>
    </row>
    <row r="143" ht="15.75" customHeight="1">
      <c r="A143" s="1"/>
      <c r="B143" s="1"/>
      <c r="C143" s="1"/>
      <c r="D143" s="1"/>
      <c r="E143" s="1"/>
      <c r="F143" s="1"/>
      <c r="G143" s="1"/>
      <c r="H143" s="1"/>
      <c r="I143" s="2"/>
      <c r="J143" s="2"/>
      <c r="K143" s="2"/>
      <c r="L143" s="2"/>
      <c r="M143" s="2"/>
      <c r="N143" s="2"/>
      <c r="O143" s="2"/>
      <c r="P143" s="2"/>
      <c r="Q143" s="2"/>
      <c r="R143" s="2"/>
      <c r="S143" s="2"/>
      <c r="T143" s="2"/>
      <c r="U143" s="2"/>
      <c r="V143" s="2"/>
      <c r="W143" s="2"/>
      <c r="X143" s="2"/>
      <c r="Y143" s="2"/>
      <c r="Z143" s="2"/>
    </row>
    <row r="144" ht="15.75" customHeight="1">
      <c r="A144" s="1"/>
      <c r="B144" s="1"/>
      <c r="C144" s="1"/>
      <c r="D144" s="1"/>
      <c r="E144" s="1"/>
      <c r="F144" s="1"/>
      <c r="G144" s="1"/>
      <c r="H144" s="1"/>
      <c r="I144" s="2"/>
      <c r="J144" s="2"/>
      <c r="K144" s="2"/>
      <c r="L144" s="2"/>
      <c r="M144" s="2"/>
      <c r="N144" s="2"/>
      <c r="O144" s="2"/>
      <c r="P144" s="2"/>
      <c r="Q144" s="2"/>
      <c r="R144" s="2"/>
      <c r="S144" s="2"/>
      <c r="T144" s="2"/>
      <c r="U144" s="2"/>
      <c r="V144" s="2"/>
      <c r="W144" s="2"/>
      <c r="X144" s="2"/>
      <c r="Y144" s="2"/>
      <c r="Z144" s="2"/>
    </row>
    <row r="145" ht="15.75" customHeight="1">
      <c r="A145" s="1"/>
      <c r="B145" s="1"/>
      <c r="C145" s="1"/>
      <c r="D145" s="1"/>
      <c r="E145" s="1"/>
      <c r="F145" s="1"/>
      <c r="G145" s="1"/>
      <c r="H145" s="1"/>
      <c r="I145" s="2"/>
      <c r="J145" s="2"/>
      <c r="K145" s="2"/>
      <c r="L145" s="2"/>
      <c r="M145" s="2"/>
      <c r="N145" s="2"/>
      <c r="O145" s="2"/>
      <c r="P145" s="2"/>
      <c r="Q145" s="2"/>
      <c r="R145" s="2"/>
      <c r="S145" s="2"/>
      <c r="T145" s="2"/>
      <c r="U145" s="2"/>
      <c r="V145" s="2"/>
      <c r="W145" s="2"/>
      <c r="X145" s="2"/>
      <c r="Y145" s="2"/>
      <c r="Z145" s="2"/>
    </row>
    <row r="146" ht="15.75" customHeight="1">
      <c r="A146" s="1"/>
      <c r="B146" s="1"/>
      <c r="C146" s="1"/>
      <c r="D146" s="1"/>
      <c r="E146" s="1"/>
      <c r="F146" s="1"/>
      <c r="G146" s="1"/>
      <c r="H146" s="1"/>
      <c r="I146" s="2"/>
      <c r="J146" s="2"/>
      <c r="K146" s="2"/>
      <c r="L146" s="2"/>
      <c r="M146" s="2"/>
      <c r="N146" s="2"/>
      <c r="O146" s="2"/>
      <c r="P146" s="2"/>
      <c r="Q146" s="2"/>
      <c r="R146" s="2"/>
      <c r="S146" s="2"/>
      <c r="T146" s="2"/>
      <c r="U146" s="2"/>
      <c r="V146" s="2"/>
      <c r="W146" s="2"/>
      <c r="X146" s="2"/>
      <c r="Y146" s="2"/>
      <c r="Z146" s="2"/>
    </row>
    <row r="147" ht="15.75" customHeight="1">
      <c r="A147" s="1"/>
      <c r="B147" s="1"/>
      <c r="C147" s="1"/>
      <c r="D147" s="1"/>
      <c r="E147" s="1"/>
      <c r="F147" s="1"/>
      <c r="G147" s="1"/>
      <c r="H147" s="1"/>
      <c r="I147" s="2"/>
      <c r="J147" s="2"/>
      <c r="K147" s="2"/>
      <c r="L147" s="2"/>
      <c r="M147" s="2"/>
      <c r="N147" s="2"/>
      <c r="O147" s="2"/>
      <c r="P147" s="2"/>
      <c r="Q147" s="2"/>
      <c r="R147" s="2"/>
      <c r="S147" s="2"/>
      <c r="T147" s="2"/>
      <c r="U147" s="2"/>
      <c r="V147" s="2"/>
      <c r="W147" s="2"/>
      <c r="X147" s="2"/>
      <c r="Y147" s="2"/>
      <c r="Z147" s="2"/>
    </row>
    <row r="148" ht="15.75" customHeight="1">
      <c r="A148" s="1"/>
      <c r="B148" s="1"/>
      <c r="C148" s="1"/>
      <c r="D148" s="1"/>
      <c r="E148" s="1"/>
      <c r="F148" s="1"/>
      <c r="G148" s="1"/>
      <c r="H148" s="1"/>
      <c r="I148" s="2"/>
      <c r="J148" s="2"/>
      <c r="K148" s="2"/>
      <c r="L148" s="2"/>
      <c r="M148" s="2"/>
      <c r="N148" s="2"/>
      <c r="O148" s="2"/>
      <c r="P148" s="2"/>
      <c r="Q148" s="2"/>
      <c r="R148" s="2"/>
      <c r="S148" s="2"/>
      <c r="T148" s="2"/>
      <c r="U148" s="2"/>
      <c r="V148" s="2"/>
      <c r="W148" s="2"/>
      <c r="X148" s="2"/>
      <c r="Y148" s="2"/>
      <c r="Z148" s="2"/>
    </row>
    <row r="149" ht="15.75" customHeight="1">
      <c r="A149" s="1"/>
      <c r="B149" s="1"/>
      <c r="C149" s="1"/>
      <c r="D149" s="1"/>
      <c r="E149" s="1"/>
      <c r="F149" s="1"/>
      <c r="G149" s="1"/>
      <c r="H149" s="1"/>
      <c r="I149" s="2"/>
      <c r="J149" s="2"/>
      <c r="K149" s="2"/>
      <c r="L149" s="2"/>
      <c r="M149" s="2"/>
      <c r="N149" s="2"/>
      <c r="O149" s="2"/>
      <c r="P149" s="2"/>
      <c r="Q149" s="2"/>
      <c r="R149" s="2"/>
      <c r="S149" s="2"/>
      <c r="T149" s="2"/>
      <c r="U149" s="2"/>
      <c r="V149" s="2"/>
      <c r="W149" s="2"/>
      <c r="X149" s="2"/>
      <c r="Y149" s="2"/>
      <c r="Z149" s="2"/>
    </row>
    <row r="150" ht="15.75" customHeight="1">
      <c r="A150" s="1"/>
      <c r="B150" s="1"/>
      <c r="C150" s="1"/>
      <c r="D150" s="1"/>
      <c r="E150" s="1"/>
      <c r="F150" s="1"/>
      <c r="G150" s="1"/>
      <c r="H150" s="1"/>
      <c r="I150" s="2"/>
      <c r="J150" s="2"/>
      <c r="K150" s="2"/>
      <c r="L150" s="2"/>
      <c r="M150" s="2"/>
      <c r="N150" s="2"/>
      <c r="O150" s="2"/>
      <c r="P150" s="2"/>
      <c r="Q150" s="2"/>
      <c r="R150" s="2"/>
      <c r="S150" s="2"/>
      <c r="T150" s="2"/>
      <c r="U150" s="2"/>
      <c r="V150" s="2"/>
      <c r="W150" s="2"/>
      <c r="X150" s="2"/>
      <c r="Y150" s="2"/>
      <c r="Z150" s="2"/>
    </row>
    <row r="151" ht="15.75" customHeight="1">
      <c r="A151" s="1"/>
      <c r="B151" s="1"/>
      <c r="C151" s="1"/>
      <c r="D151" s="1"/>
      <c r="E151" s="1"/>
      <c r="F151" s="1"/>
      <c r="G151" s="1"/>
      <c r="H151" s="1"/>
      <c r="I151" s="2"/>
      <c r="J151" s="2"/>
      <c r="K151" s="2"/>
      <c r="L151" s="2"/>
      <c r="M151" s="2"/>
      <c r="N151" s="2"/>
      <c r="O151" s="2"/>
      <c r="P151" s="2"/>
      <c r="Q151" s="2"/>
      <c r="R151" s="2"/>
      <c r="S151" s="2"/>
      <c r="T151" s="2"/>
      <c r="U151" s="2"/>
      <c r="V151" s="2"/>
      <c r="W151" s="2"/>
      <c r="X151" s="2"/>
      <c r="Y151" s="2"/>
      <c r="Z151" s="2"/>
    </row>
    <row r="152" ht="15.75" customHeight="1">
      <c r="A152" s="1"/>
      <c r="B152" s="1"/>
      <c r="C152" s="1"/>
      <c r="D152" s="1"/>
      <c r="E152" s="1"/>
      <c r="F152" s="1"/>
      <c r="G152" s="1"/>
      <c r="H152" s="1"/>
      <c r="I152" s="2"/>
      <c r="J152" s="2"/>
      <c r="K152" s="2"/>
      <c r="L152" s="2"/>
      <c r="M152" s="2"/>
      <c r="N152" s="2"/>
      <c r="O152" s="2"/>
      <c r="P152" s="2"/>
      <c r="Q152" s="2"/>
      <c r="R152" s="2"/>
      <c r="S152" s="2"/>
      <c r="T152" s="2"/>
      <c r="U152" s="2"/>
      <c r="V152" s="2"/>
      <c r="W152" s="2"/>
      <c r="X152" s="2"/>
      <c r="Y152" s="2"/>
      <c r="Z152" s="2"/>
    </row>
    <row r="153" ht="15.75" customHeight="1">
      <c r="A153" s="1"/>
      <c r="B153" s="1"/>
      <c r="C153" s="1"/>
      <c r="D153" s="1"/>
      <c r="E153" s="1"/>
      <c r="F153" s="1"/>
      <c r="G153" s="1"/>
      <c r="H153" s="1"/>
      <c r="I153" s="2"/>
      <c r="J153" s="2"/>
      <c r="K153" s="2"/>
      <c r="L153" s="2"/>
      <c r="M153" s="2"/>
      <c r="N153" s="2"/>
      <c r="O153" s="2"/>
      <c r="P153" s="2"/>
      <c r="Q153" s="2"/>
      <c r="R153" s="2"/>
      <c r="S153" s="2"/>
      <c r="T153" s="2"/>
      <c r="U153" s="2"/>
      <c r="V153" s="2"/>
      <c r="W153" s="2"/>
      <c r="X153" s="2"/>
      <c r="Y153" s="2"/>
      <c r="Z153" s="2"/>
    </row>
    <row r="154" ht="15.75" customHeight="1">
      <c r="A154" s="1"/>
      <c r="B154" s="1"/>
      <c r="C154" s="1"/>
      <c r="D154" s="1"/>
      <c r="E154" s="1"/>
      <c r="F154" s="1"/>
      <c r="G154" s="1"/>
      <c r="H154" s="1"/>
      <c r="I154" s="2"/>
      <c r="J154" s="2"/>
      <c r="K154" s="2"/>
      <c r="L154" s="2"/>
      <c r="M154" s="2"/>
      <c r="N154" s="2"/>
      <c r="O154" s="2"/>
      <c r="P154" s="2"/>
      <c r="Q154" s="2"/>
      <c r="R154" s="2"/>
      <c r="S154" s="2"/>
      <c r="T154" s="2"/>
      <c r="U154" s="2"/>
      <c r="V154" s="2"/>
      <c r="W154" s="2"/>
      <c r="X154" s="2"/>
      <c r="Y154" s="2"/>
      <c r="Z154" s="2"/>
    </row>
    <row r="155" ht="15.75" customHeight="1">
      <c r="A155" s="1"/>
      <c r="B155" s="1"/>
      <c r="C155" s="1"/>
      <c r="D155" s="1"/>
      <c r="E155" s="1"/>
      <c r="F155" s="1"/>
      <c r="G155" s="1"/>
      <c r="H155" s="1"/>
      <c r="I155" s="2"/>
      <c r="J155" s="2"/>
      <c r="K155" s="2"/>
      <c r="L155" s="2"/>
      <c r="M155" s="2"/>
      <c r="N155" s="2"/>
      <c r="O155" s="2"/>
      <c r="P155" s="2"/>
      <c r="Q155" s="2"/>
      <c r="R155" s="2"/>
      <c r="S155" s="2"/>
      <c r="T155" s="2"/>
      <c r="U155" s="2"/>
      <c r="V155" s="2"/>
      <c r="W155" s="2"/>
      <c r="X155" s="2"/>
      <c r="Y155" s="2"/>
      <c r="Z155" s="2"/>
    </row>
    <row r="156" ht="15.75" customHeight="1">
      <c r="A156" s="1"/>
      <c r="B156" s="1"/>
      <c r="C156" s="1"/>
      <c r="D156" s="1"/>
      <c r="E156" s="1"/>
      <c r="F156" s="1"/>
      <c r="G156" s="1"/>
      <c r="H156" s="1"/>
      <c r="I156" s="2"/>
      <c r="J156" s="2"/>
      <c r="K156" s="2"/>
      <c r="L156" s="2"/>
      <c r="M156" s="2"/>
      <c r="N156" s="2"/>
      <c r="O156" s="2"/>
      <c r="P156" s="2"/>
      <c r="Q156" s="2"/>
      <c r="R156" s="2"/>
      <c r="S156" s="2"/>
      <c r="T156" s="2"/>
      <c r="U156" s="2"/>
      <c r="V156" s="2"/>
      <c r="W156" s="2"/>
      <c r="X156" s="2"/>
      <c r="Y156" s="2"/>
      <c r="Z156" s="2"/>
    </row>
    <row r="157" ht="15.75" customHeight="1">
      <c r="A157" s="1"/>
      <c r="B157" s="1"/>
      <c r="C157" s="1"/>
      <c r="D157" s="1"/>
      <c r="E157" s="1"/>
      <c r="F157" s="1"/>
      <c r="G157" s="1"/>
      <c r="H157" s="1"/>
      <c r="I157" s="2"/>
      <c r="J157" s="2"/>
      <c r="K157" s="2"/>
      <c r="L157" s="2"/>
      <c r="M157" s="2"/>
      <c r="N157" s="2"/>
      <c r="O157" s="2"/>
      <c r="P157" s="2"/>
      <c r="Q157" s="2"/>
      <c r="R157" s="2"/>
      <c r="S157" s="2"/>
      <c r="T157" s="2"/>
      <c r="U157" s="2"/>
      <c r="V157" s="2"/>
      <c r="W157" s="2"/>
      <c r="X157" s="2"/>
      <c r="Y157" s="2"/>
      <c r="Z157" s="2"/>
    </row>
    <row r="158" ht="15.75" customHeight="1">
      <c r="A158" s="1"/>
      <c r="B158" s="1"/>
      <c r="C158" s="1"/>
      <c r="D158" s="1"/>
      <c r="E158" s="1"/>
      <c r="F158" s="1"/>
      <c r="G158" s="1"/>
      <c r="H158" s="1"/>
      <c r="I158" s="2"/>
      <c r="J158" s="2"/>
      <c r="K158" s="2"/>
      <c r="L158" s="2"/>
      <c r="M158" s="2"/>
      <c r="N158" s="2"/>
      <c r="O158" s="2"/>
      <c r="P158" s="2"/>
      <c r="Q158" s="2"/>
      <c r="R158" s="2"/>
      <c r="S158" s="2"/>
      <c r="T158" s="2"/>
      <c r="U158" s="2"/>
      <c r="V158" s="2"/>
      <c r="W158" s="2"/>
      <c r="X158" s="2"/>
      <c r="Y158" s="2"/>
      <c r="Z158" s="2"/>
    </row>
    <row r="159" ht="15.75" customHeight="1">
      <c r="A159" s="1"/>
      <c r="B159" s="1"/>
      <c r="C159" s="1"/>
      <c r="D159" s="1"/>
      <c r="E159" s="1"/>
      <c r="F159" s="1"/>
      <c r="G159" s="1"/>
      <c r="H159" s="1"/>
      <c r="I159" s="2"/>
      <c r="J159" s="2"/>
      <c r="K159" s="2"/>
      <c r="L159" s="2"/>
      <c r="M159" s="2"/>
      <c r="N159" s="2"/>
      <c r="O159" s="2"/>
      <c r="P159" s="2"/>
      <c r="Q159" s="2"/>
      <c r="R159" s="2"/>
      <c r="S159" s="2"/>
      <c r="T159" s="2"/>
      <c r="U159" s="2"/>
      <c r="V159" s="2"/>
      <c r="W159" s="2"/>
      <c r="X159" s="2"/>
      <c r="Y159" s="2"/>
      <c r="Z159" s="2"/>
    </row>
    <row r="160" ht="15.75" customHeight="1">
      <c r="A160" s="1"/>
      <c r="B160" s="1"/>
      <c r="C160" s="1"/>
      <c r="D160" s="1"/>
      <c r="E160" s="1"/>
      <c r="F160" s="1"/>
      <c r="G160" s="1"/>
      <c r="H160" s="1"/>
      <c r="I160" s="2"/>
      <c r="J160" s="2"/>
      <c r="K160" s="2"/>
      <c r="L160" s="2"/>
      <c r="M160" s="2"/>
      <c r="N160" s="2"/>
      <c r="O160" s="2"/>
      <c r="P160" s="2"/>
      <c r="Q160" s="2"/>
      <c r="R160" s="2"/>
      <c r="S160" s="2"/>
      <c r="T160" s="2"/>
      <c r="U160" s="2"/>
      <c r="V160" s="2"/>
      <c r="W160" s="2"/>
      <c r="X160" s="2"/>
      <c r="Y160" s="2"/>
      <c r="Z160" s="2"/>
    </row>
    <row r="161" ht="15.75" customHeight="1">
      <c r="A161" s="1"/>
      <c r="B161" s="1"/>
      <c r="C161" s="1"/>
      <c r="D161" s="1"/>
      <c r="E161" s="1"/>
      <c r="F161" s="1"/>
      <c r="G161" s="1"/>
      <c r="H161" s="1"/>
      <c r="I161" s="2"/>
      <c r="J161" s="2"/>
      <c r="K161" s="2"/>
      <c r="L161" s="2"/>
      <c r="M161" s="2"/>
      <c r="N161" s="2"/>
      <c r="O161" s="2"/>
      <c r="P161" s="2"/>
      <c r="Q161" s="2"/>
      <c r="R161" s="2"/>
      <c r="S161" s="2"/>
      <c r="T161" s="2"/>
      <c r="U161" s="2"/>
      <c r="V161" s="2"/>
      <c r="W161" s="2"/>
      <c r="X161" s="2"/>
      <c r="Y161" s="2"/>
      <c r="Z161" s="2"/>
    </row>
    <row r="162" ht="15.75" customHeight="1">
      <c r="A162" s="1"/>
      <c r="B162" s="1"/>
      <c r="C162" s="1"/>
      <c r="D162" s="1"/>
      <c r="E162" s="1"/>
      <c r="F162" s="1"/>
      <c r="G162" s="1"/>
      <c r="H162" s="1"/>
      <c r="I162" s="2"/>
      <c r="J162" s="2"/>
      <c r="K162" s="2"/>
      <c r="L162" s="2"/>
      <c r="M162" s="2"/>
      <c r="N162" s="2"/>
      <c r="O162" s="2"/>
      <c r="P162" s="2"/>
      <c r="Q162" s="2"/>
      <c r="R162" s="2"/>
      <c r="S162" s="2"/>
      <c r="T162" s="2"/>
      <c r="U162" s="2"/>
      <c r="V162" s="2"/>
      <c r="W162" s="2"/>
      <c r="X162" s="2"/>
      <c r="Y162" s="2"/>
      <c r="Z162" s="2"/>
    </row>
    <row r="163" ht="15.75" customHeight="1">
      <c r="A163" s="1"/>
      <c r="B163" s="1"/>
      <c r="C163" s="1"/>
      <c r="D163" s="1"/>
      <c r="E163" s="1"/>
      <c r="F163" s="1"/>
      <c r="G163" s="1"/>
      <c r="H163" s="1"/>
      <c r="I163" s="2"/>
      <c r="J163" s="2"/>
      <c r="K163" s="2"/>
      <c r="L163" s="2"/>
      <c r="M163" s="2"/>
      <c r="N163" s="2"/>
      <c r="O163" s="2"/>
      <c r="P163" s="2"/>
      <c r="Q163" s="2"/>
      <c r="R163" s="2"/>
      <c r="S163" s="2"/>
      <c r="T163" s="2"/>
      <c r="U163" s="2"/>
      <c r="V163" s="2"/>
      <c r="W163" s="2"/>
      <c r="X163" s="2"/>
      <c r="Y163" s="2"/>
      <c r="Z163" s="2"/>
    </row>
    <row r="164" ht="15.75" customHeight="1">
      <c r="A164" s="1"/>
      <c r="B164" s="1"/>
      <c r="C164" s="1"/>
      <c r="D164" s="1"/>
      <c r="E164" s="1"/>
      <c r="F164" s="1"/>
      <c r="G164" s="1"/>
      <c r="H164" s="1"/>
      <c r="I164" s="2"/>
      <c r="J164" s="2"/>
      <c r="K164" s="2"/>
      <c r="L164" s="2"/>
      <c r="M164" s="2"/>
      <c r="N164" s="2"/>
      <c r="O164" s="2"/>
      <c r="P164" s="2"/>
      <c r="Q164" s="2"/>
      <c r="R164" s="2"/>
      <c r="S164" s="2"/>
      <c r="T164" s="2"/>
      <c r="U164" s="2"/>
      <c r="V164" s="2"/>
      <c r="W164" s="2"/>
      <c r="X164" s="2"/>
      <c r="Y164" s="2"/>
      <c r="Z164" s="2"/>
    </row>
    <row r="165" ht="15.75" customHeight="1">
      <c r="A165" s="1"/>
      <c r="B165" s="1"/>
      <c r="C165" s="1"/>
      <c r="D165" s="1"/>
      <c r="E165" s="1"/>
      <c r="F165" s="1"/>
      <c r="G165" s="1"/>
      <c r="H165" s="1"/>
      <c r="I165" s="2"/>
      <c r="J165" s="2"/>
      <c r="K165" s="2"/>
      <c r="L165" s="2"/>
      <c r="M165" s="2"/>
      <c r="N165" s="2"/>
      <c r="O165" s="2"/>
      <c r="P165" s="2"/>
      <c r="Q165" s="2"/>
      <c r="R165" s="2"/>
      <c r="S165" s="2"/>
      <c r="T165" s="2"/>
      <c r="U165" s="2"/>
      <c r="V165" s="2"/>
      <c r="W165" s="2"/>
      <c r="X165" s="2"/>
      <c r="Y165" s="2"/>
      <c r="Z165" s="2"/>
    </row>
    <row r="166" ht="15.75" customHeight="1">
      <c r="A166" s="1"/>
      <c r="B166" s="1"/>
      <c r="C166" s="1"/>
      <c r="D166" s="1"/>
      <c r="E166" s="1"/>
      <c r="F166" s="1"/>
      <c r="G166" s="1"/>
      <c r="H166" s="1"/>
      <c r="I166" s="2"/>
      <c r="J166" s="2"/>
      <c r="K166" s="2"/>
      <c r="L166" s="2"/>
      <c r="M166" s="2"/>
      <c r="N166" s="2"/>
      <c r="O166" s="2"/>
      <c r="P166" s="2"/>
      <c r="Q166" s="2"/>
      <c r="R166" s="2"/>
      <c r="S166" s="2"/>
      <c r="T166" s="2"/>
      <c r="U166" s="2"/>
      <c r="V166" s="2"/>
      <c r="W166" s="2"/>
      <c r="X166" s="2"/>
      <c r="Y166" s="2"/>
      <c r="Z166" s="2"/>
    </row>
    <row r="167" ht="15.75" customHeight="1">
      <c r="A167" s="1"/>
      <c r="B167" s="1"/>
      <c r="C167" s="1"/>
      <c r="D167" s="1"/>
      <c r="E167" s="1"/>
      <c r="F167" s="1"/>
      <c r="G167" s="1"/>
      <c r="H167" s="1"/>
      <c r="I167" s="2"/>
      <c r="J167" s="2"/>
      <c r="K167" s="2"/>
      <c r="L167" s="2"/>
      <c r="M167" s="2"/>
      <c r="N167" s="2"/>
      <c r="O167" s="2"/>
      <c r="P167" s="2"/>
      <c r="Q167" s="2"/>
      <c r="R167" s="2"/>
      <c r="S167" s="2"/>
      <c r="T167" s="2"/>
      <c r="U167" s="2"/>
      <c r="V167" s="2"/>
      <c r="W167" s="2"/>
      <c r="X167" s="2"/>
      <c r="Y167" s="2"/>
      <c r="Z167" s="2"/>
    </row>
    <row r="168" ht="15.75" customHeight="1">
      <c r="A168" s="1"/>
      <c r="B168" s="1"/>
      <c r="C168" s="1"/>
      <c r="D168" s="1"/>
      <c r="E168" s="1"/>
      <c r="F168" s="1"/>
      <c r="G168" s="1"/>
      <c r="H168" s="1"/>
      <c r="I168" s="2"/>
      <c r="J168" s="2"/>
      <c r="K168" s="2"/>
      <c r="L168" s="2"/>
      <c r="M168" s="2"/>
      <c r="N168" s="2"/>
      <c r="O168" s="2"/>
      <c r="P168" s="2"/>
      <c r="Q168" s="2"/>
      <c r="R168" s="2"/>
      <c r="S168" s="2"/>
      <c r="T168" s="2"/>
      <c r="U168" s="2"/>
      <c r="V168" s="2"/>
      <c r="W168" s="2"/>
      <c r="X168" s="2"/>
      <c r="Y168" s="2"/>
      <c r="Z168" s="2"/>
    </row>
    <row r="169" ht="15.75" customHeight="1">
      <c r="A169" s="1"/>
      <c r="B169" s="1"/>
      <c r="C169" s="1"/>
      <c r="D169" s="1"/>
      <c r="E169" s="1"/>
      <c r="F169" s="1"/>
      <c r="G169" s="1"/>
      <c r="H169" s="1"/>
      <c r="I169" s="2"/>
      <c r="J169" s="2"/>
      <c r="K169" s="2"/>
      <c r="L169" s="2"/>
      <c r="M169" s="2"/>
      <c r="N169" s="2"/>
      <c r="O169" s="2"/>
      <c r="P169" s="2"/>
      <c r="Q169" s="2"/>
      <c r="R169" s="2"/>
      <c r="S169" s="2"/>
      <c r="T169" s="2"/>
      <c r="U169" s="2"/>
      <c r="V169" s="2"/>
      <c r="W169" s="2"/>
      <c r="X169" s="2"/>
      <c r="Y169" s="2"/>
      <c r="Z169" s="2"/>
    </row>
    <row r="170" ht="15.75" customHeight="1">
      <c r="A170" s="1"/>
      <c r="B170" s="1"/>
      <c r="C170" s="1"/>
      <c r="D170" s="1"/>
      <c r="E170" s="1"/>
      <c r="F170" s="1"/>
      <c r="G170" s="1"/>
      <c r="H170" s="1"/>
      <c r="I170" s="2"/>
      <c r="J170" s="2"/>
      <c r="K170" s="2"/>
      <c r="L170" s="2"/>
      <c r="M170" s="2"/>
      <c r="N170" s="2"/>
      <c r="O170" s="2"/>
      <c r="P170" s="2"/>
      <c r="Q170" s="2"/>
      <c r="R170" s="2"/>
      <c r="S170" s="2"/>
      <c r="T170" s="2"/>
      <c r="U170" s="2"/>
      <c r="V170" s="2"/>
      <c r="W170" s="2"/>
      <c r="X170" s="2"/>
      <c r="Y170" s="2"/>
      <c r="Z170" s="2"/>
    </row>
    <row r="171" ht="15.75" customHeight="1">
      <c r="A171" s="1"/>
      <c r="B171" s="1"/>
      <c r="C171" s="1"/>
      <c r="D171" s="1"/>
      <c r="E171" s="1"/>
      <c r="F171" s="1"/>
      <c r="G171" s="1"/>
      <c r="H171" s="1"/>
      <c r="I171" s="2"/>
      <c r="J171" s="2"/>
      <c r="K171" s="2"/>
      <c r="L171" s="2"/>
      <c r="M171" s="2"/>
      <c r="N171" s="2"/>
      <c r="O171" s="2"/>
      <c r="P171" s="2"/>
      <c r="Q171" s="2"/>
      <c r="R171" s="2"/>
      <c r="S171" s="2"/>
      <c r="T171" s="2"/>
      <c r="U171" s="2"/>
      <c r="V171" s="2"/>
      <c r="W171" s="2"/>
      <c r="X171" s="2"/>
      <c r="Y171" s="2"/>
      <c r="Z171" s="2"/>
    </row>
    <row r="172" ht="15.75" customHeight="1">
      <c r="A172" s="1"/>
      <c r="B172" s="1"/>
      <c r="C172" s="1"/>
      <c r="D172" s="1"/>
      <c r="E172" s="1"/>
      <c r="F172" s="1"/>
      <c r="G172" s="1"/>
      <c r="H172" s="1"/>
      <c r="I172" s="2"/>
      <c r="J172" s="2"/>
      <c r="K172" s="2"/>
      <c r="L172" s="2"/>
      <c r="M172" s="2"/>
      <c r="N172" s="2"/>
      <c r="O172" s="2"/>
      <c r="P172" s="2"/>
      <c r="Q172" s="2"/>
      <c r="R172" s="2"/>
      <c r="S172" s="2"/>
      <c r="T172" s="2"/>
      <c r="U172" s="2"/>
      <c r="V172" s="2"/>
      <c r="W172" s="2"/>
      <c r="X172" s="2"/>
      <c r="Y172" s="2"/>
      <c r="Z172" s="2"/>
    </row>
    <row r="173" ht="15.75" customHeight="1">
      <c r="A173" s="1"/>
      <c r="B173" s="1"/>
      <c r="C173" s="1"/>
      <c r="D173" s="1"/>
      <c r="E173" s="1"/>
      <c r="F173" s="1"/>
      <c r="G173" s="1"/>
      <c r="H173" s="1"/>
      <c r="I173" s="2"/>
      <c r="J173" s="2"/>
      <c r="K173" s="2"/>
      <c r="L173" s="2"/>
      <c r="M173" s="2"/>
      <c r="N173" s="2"/>
      <c r="O173" s="2"/>
      <c r="P173" s="2"/>
      <c r="Q173" s="2"/>
      <c r="R173" s="2"/>
      <c r="S173" s="2"/>
      <c r="T173" s="2"/>
      <c r="U173" s="2"/>
      <c r="V173" s="2"/>
      <c r="W173" s="2"/>
      <c r="X173" s="2"/>
      <c r="Y173" s="2"/>
      <c r="Z173" s="2"/>
    </row>
    <row r="174" ht="15.75" customHeight="1">
      <c r="A174" s="1"/>
      <c r="B174" s="1"/>
      <c r="C174" s="1"/>
      <c r="D174" s="1"/>
      <c r="E174" s="1"/>
      <c r="F174" s="1"/>
      <c r="G174" s="1"/>
      <c r="H174" s="1"/>
      <c r="I174" s="2"/>
      <c r="J174" s="2"/>
      <c r="K174" s="2"/>
      <c r="L174" s="2"/>
      <c r="M174" s="2"/>
      <c r="N174" s="2"/>
      <c r="O174" s="2"/>
      <c r="P174" s="2"/>
      <c r="Q174" s="2"/>
      <c r="R174" s="2"/>
      <c r="S174" s="2"/>
      <c r="T174" s="2"/>
      <c r="U174" s="2"/>
      <c r="V174" s="2"/>
      <c r="W174" s="2"/>
      <c r="X174" s="2"/>
      <c r="Y174" s="2"/>
      <c r="Z174" s="2"/>
    </row>
    <row r="175" ht="15.75" customHeight="1">
      <c r="A175" s="1"/>
      <c r="B175" s="1"/>
      <c r="C175" s="1"/>
      <c r="D175" s="1"/>
      <c r="E175" s="1"/>
      <c r="F175" s="1"/>
      <c r="G175" s="1"/>
      <c r="H175" s="1"/>
      <c r="I175" s="2"/>
      <c r="J175" s="2"/>
      <c r="K175" s="2"/>
      <c r="L175" s="2"/>
      <c r="M175" s="2"/>
      <c r="N175" s="2"/>
      <c r="O175" s="2"/>
      <c r="P175" s="2"/>
      <c r="Q175" s="2"/>
      <c r="R175" s="2"/>
      <c r="S175" s="2"/>
      <c r="T175" s="2"/>
      <c r="U175" s="2"/>
      <c r="V175" s="2"/>
      <c r="W175" s="2"/>
      <c r="X175" s="2"/>
      <c r="Y175" s="2"/>
      <c r="Z175" s="2"/>
    </row>
    <row r="176" ht="15.75" customHeight="1">
      <c r="A176" s="1"/>
      <c r="B176" s="1"/>
      <c r="C176" s="1"/>
      <c r="D176" s="1"/>
      <c r="E176" s="1"/>
      <c r="F176" s="1"/>
      <c r="G176" s="1"/>
      <c r="H176" s="1"/>
      <c r="I176" s="2"/>
      <c r="J176" s="2"/>
      <c r="K176" s="2"/>
      <c r="L176" s="2"/>
      <c r="M176" s="2"/>
      <c r="N176" s="2"/>
      <c r="O176" s="2"/>
      <c r="P176" s="2"/>
      <c r="Q176" s="2"/>
      <c r="R176" s="2"/>
      <c r="S176" s="2"/>
      <c r="T176" s="2"/>
      <c r="U176" s="2"/>
      <c r="V176" s="2"/>
      <c r="W176" s="2"/>
      <c r="X176" s="2"/>
      <c r="Y176" s="2"/>
      <c r="Z176" s="2"/>
    </row>
    <row r="177" ht="15.75" customHeight="1">
      <c r="A177" s="1"/>
      <c r="B177" s="1"/>
      <c r="C177" s="1"/>
      <c r="D177" s="1"/>
      <c r="E177" s="1"/>
      <c r="F177" s="1"/>
      <c r="G177" s="1"/>
      <c r="H177" s="1"/>
      <c r="I177" s="2"/>
      <c r="J177" s="2"/>
      <c r="K177" s="2"/>
      <c r="L177" s="2"/>
      <c r="M177" s="2"/>
      <c r="N177" s="2"/>
      <c r="O177" s="2"/>
      <c r="P177" s="2"/>
      <c r="Q177" s="2"/>
      <c r="R177" s="2"/>
      <c r="S177" s="2"/>
      <c r="T177" s="2"/>
      <c r="U177" s="2"/>
      <c r="V177" s="2"/>
      <c r="W177" s="2"/>
      <c r="X177" s="2"/>
      <c r="Y177" s="2"/>
      <c r="Z177" s="2"/>
    </row>
    <row r="178" ht="15.75" customHeight="1">
      <c r="A178" s="1"/>
      <c r="B178" s="1"/>
      <c r="C178" s="1"/>
      <c r="D178" s="1"/>
      <c r="E178" s="1"/>
      <c r="F178" s="1"/>
      <c r="G178" s="1"/>
      <c r="H178" s="1"/>
      <c r="I178" s="2"/>
      <c r="J178" s="2"/>
      <c r="K178" s="2"/>
      <c r="L178" s="2"/>
      <c r="M178" s="2"/>
      <c r="N178" s="2"/>
      <c r="O178" s="2"/>
      <c r="P178" s="2"/>
      <c r="Q178" s="2"/>
      <c r="R178" s="2"/>
      <c r="S178" s="2"/>
      <c r="T178" s="2"/>
      <c r="U178" s="2"/>
      <c r="V178" s="2"/>
      <c r="W178" s="2"/>
      <c r="X178" s="2"/>
      <c r="Y178" s="2"/>
      <c r="Z178" s="2"/>
    </row>
    <row r="179" ht="15.75" customHeight="1">
      <c r="A179" s="1"/>
      <c r="B179" s="1"/>
      <c r="C179" s="1"/>
      <c r="D179" s="1"/>
      <c r="E179" s="1"/>
      <c r="F179" s="1"/>
      <c r="G179" s="1"/>
      <c r="H179" s="1"/>
      <c r="I179" s="2"/>
      <c r="J179" s="2"/>
      <c r="K179" s="2"/>
      <c r="L179" s="2"/>
      <c r="M179" s="2"/>
      <c r="N179" s="2"/>
      <c r="O179" s="2"/>
      <c r="P179" s="2"/>
      <c r="Q179" s="2"/>
      <c r="R179" s="2"/>
      <c r="S179" s="2"/>
      <c r="T179" s="2"/>
      <c r="U179" s="2"/>
      <c r="V179" s="2"/>
      <c r="W179" s="2"/>
      <c r="X179" s="2"/>
      <c r="Y179" s="2"/>
      <c r="Z179" s="2"/>
    </row>
    <row r="180" ht="15.75" customHeight="1">
      <c r="A180" s="1"/>
      <c r="B180" s="1"/>
      <c r="C180" s="1"/>
      <c r="D180" s="1"/>
      <c r="E180" s="1"/>
      <c r="F180" s="1"/>
      <c r="G180" s="1"/>
      <c r="H180" s="1"/>
      <c r="I180" s="2"/>
      <c r="J180" s="2"/>
      <c r="K180" s="2"/>
      <c r="L180" s="2"/>
      <c r="M180" s="2"/>
      <c r="N180" s="2"/>
      <c r="O180" s="2"/>
      <c r="P180" s="2"/>
      <c r="Q180" s="2"/>
      <c r="R180" s="2"/>
      <c r="S180" s="2"/>
      <c r="T180" s="2"/>
      <c r="U180" s="2"/>
      <c r="V180" s="2"/>
      <c r="W180" s="2"/>
      <c r="X180" s="2"/>
      <c r="Y180" s="2"/>
      <c r="Z180" s="2"/>
    </row>
    <row r="181" ht="15.75" customHeight="1">
      <c r="A181" s="1"/>
      <c r="B181" s="1"/>
      <c r="C181" s="1"/>
      <c r="D181" s="1"/>
      <c r="E181" s="1"/>
      <c r="F181" s="1"/>
      <c r="G181" s="1"/>
      <c r="H181" s="1"/>
      <c r="I181" s="2"/>
      <c r="J181" s="2"/>
      <c r="K181" s="2"/>
      <c r="L181" s="2"/>
      <c r="M181" s="2"/>
      <c r="N181" s="2"/>
      <c r="O181" s="2"/>
      <c r="P181" s="2"/>
      <c r="Q181" s="2"/>
      <c r="R181" s="2"/>
      <c r="S181" s="2"/>
      <c r="T181" s="2"/>
      <c r="U181" s="2"/>
      <c r="V181" s="2"/>
      <c r="W181" s="2"/>
      <c r="X181" s="2"/>
      <c r="Y181" s="2"/>
      <c r="Z181" s="2"/>
    </row>
    <row r="182" ht="15.75" customHeight="1">
      <c r="A182" s="1"/>
      <c r="B182" s="1"/>
      <c r="C182" s="1"/>
      <c r="D182" s="1"/>
      <c r="E182" s="1"/>
      <c r="F182" s="1"/>
      <c r="G182" s="1"/>
      <c r="H182" s="1"/>
      <c r="I182" s="2"/>
      <c r="J182" s="2"/>
      <c r="K182" s="2"/>
      <c r="L182" s="2"/>
      <c r="M182" s="2"/>
      <c r="N182" s="2"/>
      <c r="O182" s="2"/>
      <c r="P182" s="2"/>
      <c r="Q182" s="2"/>
      <c r="R182" s="2"/>
      <c r="S182" s="2"/>
      <c r="T182" s="2"/>
      <c r="U182" s="2"/>
      <c r="V182" s="2"/>
      <c r="W182" s="2"/>
      <c r="X182" s="2"/>
      <c r="Y182" s="2"/>
      <c r="Z182" s="2"/>
    </row>
    <row r="183" ht="15.75" customHeight="1">
      <c r="A183" s="1"/>
      <c r="B183" s="1"/>
      <c r="C183" s="1"/>
      <c r="D183" s="1"/>
      <c r="E183" s="1"/>
      <c r="F183" s="1"/>
      <c r="G183" s="1"/>
      <c r="H183" s="1"/>
      <c r="I183" s="2"/>
      <c r="J183" s="2"/>
      <c r="K183" s="2"/>
      <c r="L183" s="2"/>
      <c r="M183" s="2"/>
      <c r="N183" s="2"/>
      <c r="O183" s="2"/>
      <c r="P183" s="2"/>
      <c r="Q183" s="2"/>
      <c r="R183" s="2"/>
      <c r="S183" s="2"/>
      <c r="T183" s="2"/>
      <c r="U183" s="2"/>
      <c r="V183" s="2"/>
      <c r="W183" s="2"/>
      <c r="X183" s="2"/>
      <c r="Y183" s="2"/>
      <c r="Z183" s="2"/>
    </row>
    <row r="184" ht="15.75" customHeight="1">
      <c r="A184" s="1"/>
      <c r="B184" s="1"/>
      <c r="C184" s="1"/>
      <c r="D184" s="1"/>
      <c r="E184" s="1"/>
      <c r="F184" s="1"/>
      <c r="G184" s="1"/>
      <c r="H184" s="1"/>
      <c r="I184" s="2"/>
      <c r="J184" s="2"/>
      <c r="K184" s="2"/>
      <c r="L184" s="2"/>
      <c r="M184" s="2"/>
      <c r="N184" s="2"/>
      <c r="O184" s="2"/>
      <c r="P184" s="2"/>
      <c r="Q184" s="2"/>
      <c r="R184" s="2"/>
      <c r="S184" s="2"/>
      <c r="T184" s="2"/>
      <c r="U184" s="2"/>
      <c r="V184" s="2"/>
      <c r="W184" s="2"/>
      <c r="X184" s="2"/>
      <c r="Y184" s="2"/>
      <c r="Z184" s="2"/>
    </row>
    <row r="185" ht="15.75" customHeight="1">
      <c r="A185" s="1"/>
      <c r="B185" s="1"/>
      <c r="C185" s="1"/>
      <c r="D185" s="1"/>
      <c r="E185" s="1"/>
      <c r="F185" s="1"/>
      <c r="G185" s="1"/>
      <c r="H185" s="1"/>
      <c r="I185" s="2"/>
      <c r="J185" s="2"/>
      <c r="K185" s="2"/>
      <c r="L185" s="2"/>
      <c r="M185" s="2"/>
      <c r="N185" s="2"/>
      <c r="O185" s="2"/>
      <c r="P185" s="2"/>
      <c r="Q185" s="2"/>
      <c r="R185" s="2"/>
      <c r="S185" s="2"/>
      <c r="T185" s="2"/>
      <c r="U185" s="2"/>
      <c r="V185" s="2"/>
      <c r="W185" s="2"/>
      <c r="X185" s="2"/>
      <c r="Y185" s="2"/>
      <c r="Z185" s="2"/>
    </row>
    <row r="186" ht="15.75" customHeight="1">
      <c r="A186" s="1"/>
      <c r="B186" s="1"/>
      <c r="C186" s="1"/>
      <c r="D186" s="1"/>
      <c r="E186" s="1"/>
      <c r="F186" s="1"/>
      <c r="G186" s="1"/>
      <c r="H186" s="1"/>
      <c r="I186" s="2"/>
      <c r="J186" s="2"/>
      <c r="K186" s="2"/>
      <c r="L186" s="2"/>
      <c r="M186" s="2"/>
      <c r="N186" s="2"/>
      <c r="O186" s="2"/>
      <c r="P186" s="2"/>
      <c r="Q186" s="2"/>
      <c r="R186" s="2"/>
      <c r="S186" s="2"/>
      <c r="T186" s="2"/>
      <c r="U186" s="2"/>
      <c r="V186" s="2"/>
      <c r="W186" s="2"/>
      <c r="X186" s="2"/>
      <c r="Y186" s="2"/>
      <c r="Z186" s="2"/>
    </row>
    <row r="187" ht="15.75" customHeight="1">
      <c r="A187" s="1"/>
      <c r="B187" s="1"/>
      <c r="C187" s="1"/>
      <c r="D187" s="1"/>
      <c r="E187" s="1"/>
      <c r="F187" s="1"/>
      <c r="G187" s="1"/>
      <c r="H187" s="1"/>
      <c r="I187" s="2"/>
      <c r="J187" s="2"/>
      <c r="K187" s="2"/>
      <c r="L187" s="2"/>
      <c r="M187" s="2"/>
      <c r="N187" s="2"/>
      <c r="O187" s="2"/>
      <c r="P187" s="2"/>
      <c r="Q187" s="2"/>
      <c r="R187" s="2"/>
      <c r="S187" s="2"/>
      <c r="T187" s="2"/>
      <c r="U187" s="2"/>
      <c r="V187" s="2"/>
      <c r="W187" s="2"/>
      <c r="X187" s="2"/>
      <c r="Y187" s="2"/>
      <c r="Z187" s="2"/>
    </row>
    <row r="188" ht="15.75" customHeight="1">
      <c r="A188" s="1"/>
      <c r="B188" s="1"/>
      <c r="C188" s="1"/>
      <c r="D188" s="1"/>
      <c r="E188" s="1"/>
      <c r="F188" s="1"/>
      <c r="G188" s="1"/>
      <c r="H188" s="1"/>
      <c r="I188" s="2"/>
      <c r="J188" s="2"/>
      <c r="K188" s="2"/>
      <c r="L188" s="2"/>
      <c r="M188" s="2"/>
      <c r="N188" s="2"/>
      <c r="O188" s="2"/>
      <c r="P188" s="2"/>
      <c r="Q188" s="2"/>
      <c r="R188" s="2"/>
      <c r="S188" s="2"/>
      <c r="T188" s="2"/>
      <c r="U188" s="2"/>
      <c r="V188" s="2"/>
      <c r="W188" s="2"/>
      <c r="X188" s="2"/>
      <c r="Y188" s="2"/>
      <c r="Z188" s="2"/>
    </row>
    <row r="189" ht="15.75" customHeight="1">
      <c r="A189" s="1"/>
      <c r="B189" s="1"/>
      <c r="C189" s="1"/>
      <c r="D189" s="1"/>
      <c r="E189" s="1"/>
      <c r="F189" s="1"/>
      <c r="G189" s="1"/>
      <c r="H189" s="1"/>
      <c r="I189" s="2"/>
      <c r="J189" s="2"/>
      <c r="K189" s="2"/>
      <c r="L189" s="2"/>
      <c r="M189" s="2"/>
      <c r="N189" s="2"/>
      <c r="O189" s="2"/>
      <c r="P189" s="2"/>
      <c r="Q189" s="2"/>
      <c r="R189" s="2"/>
      <c r="S189" s="2"/>
      <c r="T189" s="2"/>
      <c r="U189" s="2"/>
      <c r="V189" s="2"/>
      <c r="W189" s="2"/>
      <c r="X189" s="2"/>
      <c r="Y189" s="2"/>
      <c r="Z189" s="2"/>
    </row>
    <row r="190" ht="15.75" customHeight="1">
      <c r="A190" s="1"/>
      <c r="B190" s="1"/>
      <c r="C190" s="1"/>
      <c r="D190" s="1"/>
      <c r="E190" s="1"/>
      <c r="F190" s="1"/>
      <c r="G190" s="1"/>
      <c r="H190" s="1"/>
      <c r="I190" s="2"/>
      <c r="J190" s="2"/>
      <c r="K190" s="2"/>
      <c r="L190" s="2"/>
      <c r="M190" s="2"/>
      <c r="N190" s="2"/>
      <c r="O190" s="2"/>
      <c r="P190" s="2"/>
      <c r="Q190" s="2"/>
      <c r="R190" s="2"/>
      <c r="S190" s="2"/>
      <c r="T190" s="2"/>
      <c r="U190" s="2"/>
      <c r="V190" s="2"/>
      <c r="W190" s="2"/>
      <c r="X190" s="2"/>
      <c r="Y190" s="2"/>
      <c r="Z190" s="2"/>
    </row>
    <row r="191" ht="15.75" customHeight="1">
      <c r="A191" s="1"/>
      <c r="B191" s="1"/>
      <c r="C191" s="1"/>
      <c r="D191" s="1"/>
      <c r="E191" s="1"/>
      <c r="F191" s="1"/>
      <c r="G191" s="1"/>
      <c r="H191" s="1"/>
      <c r="I191" s="2"/>
      <c r="J191" s="2"/>
      <c r="K191" s="2"/>
      <c r="L191" s="2"/>
      <c r="M191" s="2"/>
      <c r="N191" s="2"/>
      <c r="O191" s="2"/>
      <c r="P191" s="2"/>
      <c r="Q191" s="2"/>
      <c r="R191" s="2"/>
      <c r="S191" s="2"/>
      <c r="T191" s="2"/>
      <c r="U191" s="2"/>
      <c r="V191" s="2"/>
      <c r="W191" s="2"/>
      <c r="X191" s="2"/>
      <c r="Y191" s="2"/>
      <c r="Z191" s="2"/>
    </row>
    <row r="192" ht="15.75" customHeight="1">
      <c r="A192" s="1"/>
      <c r="B192" s="1"/>
      <c r="C192" s="1"/>
      <c r="D192" s="1"/>
      <c r="E192" s="1"/>
      <c r="F192" s="1"/>
      <c r="G192" s="1"/>
      <c r="H192" s="1"/>
      <c r="I192" s="2"/>
      <c r="J192" s="2"/>
      <c r="K192" s="2"/>
      <c r="L192" s="2"/>
      <c r="M192" s="2"/>
      <c r="N192" s="2"/>
      <c r="O192" s="2"/>
      <c r="P192" s="2"/>
      <c r="Q192" s="2"/>
      <c r="R192" s="2"/>
      <c r="S192" s="2"/>
      <c r="T192" s="2"/>
      <c r="U192" s="2"/>
      <c r="V192" s="2"/>
      <c r="W192" s="2"/>
      <c r="X192" s="2"/>
      <c r="Y192" s="2"/>
      <c r="Z192" s="2"/>
    </row>
    <row r="193" ht="15.75" customHeight="1">
      <c r="A193" s="1"/>
      <c r="B193" s="1"/>
      <c r="C193" s="1"/>
      <c r="D193" s="1"/>
      <c r="E193" s="1"/>
      <c r="F193" s="1"/>
      <c r="G193" s="1"/>
      <c r="H193" s="1"/>
      <c r="I193" s="2"/>
      <c r="J193" s="2"/>
      <c r="K193" s="2"/>
      <c r="L193" s="2"/>
      <c r="M193" s="2"/>
      <c r="N193" s="2"/>
      <c r="O193" s="2"/>
      <c r="P193" s="2"/>
      <c r="Q193" s="2"/>
      <c r="R193" s="2"/>
      <c r="S193" s="2"/>
      <c r="T193" s="2"/>
      <c r="U193" s="2"/>
      <c r="V193" s="2"/>
      <c r="W193" s="2"/>
      <c r="X193" s="2"/>
      <c r="Y193" s="2"/>
      <c r="Z193" s="2"/>
    </row>
    <row r="194" ht="15.75" customHeight="1">
      <c r="A194" s="1"/>
      <c r="B194" s="1"/>
      <c r="C194" s="1"/>
      <c r="D194" s="1"/>
      <c r="E194" s="1"/>
      <c r="F194" s="1"/>
      <c r="G194" s="1"/>
      <c r="H194" s="1"/>
      <c r="I194" s="2"/>
      <c r="J194" s="2"/>
      <c r="K194" s="2"/>
      <c r="L194" s="2"/>
      <c r="M194" s="2"/>
      <c r="N194" s="2"/>
      <c r="O194" s="2"/>
      <c r="P194" s="2"/>
      <c r="Q194" s="2"/>
      <c r="R194" s="2"/>
      <c r="S194" s="2"/>
      <c r="T194" s="2"/>
      <c r="U194" s="2"/>
      <c r="V194" s="2"/>
      <c r="W194" s="2"/>
      <c r="X194" s="2"/>
      <c r="Y194" s="2"/>
      <c r="Z194" s="2"/>
    </row>
    <row r="195" ht="15.75" customHeight="1">
      <c r="A195" s="1"/>
      <c r="B195" s="1"/>
      <c r="C195" s="1"/>
      <c r="D195" s="1"/>
      <c r="E195" s="1"/>
      <c r="F195" s="1"/>
      <c r="G195" s="1"/>
      <c r="H195" s="1"/>
      <c r="I195" s="2"/>
      <c r="J195" s="2"/>
      <c r="K195" s="2"/>
      <c r="L195" s="2"/>
      <c r="M195" s="2"/>
      <c r="N195" s="2"/>
      <c r="O195" s="2"/>
      <c r="P195" s="2"/>
      <c r="Q195" s="2"/>
      <c r="R195" s="2"/>
      <c r="S195" s="2"/>
      <c r="T195" s="2"/>
      <c r="U195" s="2"/>
      <c r="V195" s="2"/>
      <c r="W195" s="2"/>
      <c r="X195" s="2"/>
      <c r="Y195" s="2"/>
      <c r="Z195" s="2"/>
    </row>
    <row r="196" ht="15.75" customHeight="1">
      <c r="A196" s="1"/>
      <c r="B196" s="1"/>
      <c r="C196" s="1"/>
      <c r="D196" s="1"/>
      <c r="E196" s="1"/>
      <c r="F196" s="1"/>
      <c r="G196" s="1"/>
      <c r="H196" s="1"/>
      <c r="I196" s="2"/>
      <c r="J196" s="2"/>
      <c r="K196" s="2"/>
      <c r="L196" s="2"/>
      <c r="M196" s="2"/>
      <c r="N196" s="2"/>
      <c r="O196" s="2"/>
      <c r="P196" s="2"/>
      <c r="Q196" s="2"/>
      <c r="R196" s="2"/>
      <c r="S196" s="2"/>
      <c r="T196" s="2"/>
      <c r="U196" s="2"/>
      <c r="V196" s="2"/>
      <c r="W196" s="2"/>
      <c r="X196" s="2"/>
      <c r="Y196" s="2"/>
      <c r="Z196" s="2"/>
    </row>
    <row r="197" ht="15.75" customHeight="1">
      <c r="A197" s="1"/>
      <c r="B197" s="1"/>
      <c r="C197" s="1"/>
      <c r="D197" s="1"/>
      <c r="E197" s="1"/>
      <c r="F197" s="1"/>
      <c r="G197" s="1"/>
      <c r="H197" s="1"/>
      <c r="I197" s="2"/>
      <c r="J197" s="2"/>
      <c r="K197" s="2"/>
      <c r="L197" s="2"/>
      <c r="M197" s="2"/>
      <c r="N197" s="2"/>
      <c r="O197" s="2"/>
      <c r="P197" s="2"/>
      <c r="Q197" s="2"/>
      <c r="R197" s="2"/>
      <c r="S197" s="2"/>
      <c r="T197" s="2"/>
      <c r="U197" s="2"/>
      <c r="V197" s="2"/>
      <c r="W197" s="2"/>
      <c r="X197" s="2"/>
      <c r="Y197" s="2"/>
      <c r="Z197" s="2"/>
    </row>
    <row r="198" ht="15.75" customHeight="1">
      <c r="A198" s="1"/>
      <c r="B198" s="1"/>
      <c r="C198" s="1"/>
      <c r="D198" s="1"/>
      <c r="E198" s="1"/>
      <c r="F198" s="1"/>
      <c r="G198" s="1"/>
      <c r="H198" s="1"/>
      <c r="I198" s="2"/>
      <c r="J198" s="2"/>
      <c r="K198" s="2"/>
      <c r="L198" s="2"/>
      <c r="M198" s="2"/>
      <c r="N198" s="2"/>
      <c r="O198" s="2"/>
      <c r="P198" s="2"/>
      <c r="Q198" s="2"/>
      <c r="R198" s="2"/>
      <c r="S198" s="2"/>
      <c r="T198" s="2"/>
      <c r="U198" s="2"/>
      <c r="V198" s="2"/>
      <c r="W198" s="2"/>
      <c r="X198" s="2"/>
      <c r="Y198" s="2"/>
      <c r="Z198" s="2"/>
    </row>
    <row r="199" ht="15.75" customHeight="1">
      <c r="A199" s="1"/>
      <c r="B199" s="1"/>
      <c r="C199" s="1"/>
      <c r="D199" s="1"/>
      <c r="E199" s="1"/>
      <c r="F199" s="1"/>
      <c r="G199" s="1"/>
      <c r="H199" s="1"/>
      <c r="I199" s="2"/>
      <c r="J199" s="2"/>
      <c r="K199" s="2"/>
      <c r="L199" s="2"/>
      <c r="M199" s="2"/>
      <c r="N199" s="2"/>
      <c r="O199" s="2"/>
      <c r="P199" s="2"/>
      <c r="Q199" s="2"/>
      <c r="R199" s="2"/>
      <c r="S199" s="2"/>
      <c r="T199" s="2"/>
      <c r="U199" s="2"/>
      <c r="V199" s="2"/>
      <c r="W199" s="2"/>
      <c r="X199" s="2"/>
      <c r="Y199" s="2"/>
      <c r="Z199" s="2"/>
    </row>
    <row r="200" ht="15.75" customHeight="1">
      <c r="A200" s="1"/>
      <c r="B200" s="1"/>
      <c r="C200" s="1"/>
      <c r="D200" s="1"/>
      <c r="E200" s="1"/>
      <c r="F200" s="1"/>
      <c r="G200" s="1"/>
      <c r="H200" s="1"/>
      <c r="I200" s="2"/>
      <c r="J200" s="2"/>
      <c r="K200" s="2"/>
      <c r="L200" s="2"/>
      <c r="M200" s="2"/>
      <c r="N200" s="2"/>
      <c r="O200" s="2"/>
      <c r="P200" s="2"/>
      <c r="Q200" s="2"/>
      <c r="R200" s="2"/>
      <c r="S200" s="2"/>
      <c r="T200" s="2"/>
      <c r="U200" s="2"/>
      <c r="V200" s="2"/>
      <c r="W200" s="2"/>
      <c r="X200" s="2"/>
      <c r="Y200" s="2"/>
      <c r="Z200" s="2"/>
    </row>
    <row r="201" ht="15.75" customHeight="1">
      <c r="A201" s="1"/>
      <c r="B201" s="1"/>
      <c r="C201" s="1"/>
      <c r="D201" s="1"/>
      <c r="E201" s="1"/>
      <c r="F201" s="1"/>
      <c r="G201" s="1"/>
      <c r="H201" s="1"/>
      <c r="I201" s="2"/>
      <c r="J201" s="2"/>
      <c r="K201" s="2"/>
      <c r="L201" s="2"/>
      <c r="M201" s="2"/>
      <c r="N201" s="2"/>
      <c r="O201" s="2"/>
      <c r="P201" s="2"/>
      <c r="Q201" s="2"/>
      <c r="R201" s="2"/>
      <c r="S201" s="2"/>
      <c r="T201" s="2"/>
      <c r="U201" s="2"/>
      <c r="V201" s="2"/>
      <c r="W201" s="2"/>
      <c r="X201" s="2"/>
      <c r="Y201" s="2"/>
      <c r="Z201" s="2"/>
    </row>
    <row r="202" ht="15.75" customHeight="1">
      <c r="A202" s="1"/>
      <c r="B202" s="1"/>
      <c r="C202" s="1"/>
      <c r="D202" s="1"/>
      <c r="E202" s="1"/>
      <c r="F202" s="1"/>
      <c r="G202" s="1"/>
      <c r="H202" s="1"/>
      <c r="I202" s="2"/>
      <c r="J202" s="2"/>
      <c r="K202" s="2"/>
      <c r="L202" s="2"/>
      <c r="M202" s="2"/>
      <c r="N202" s="2"/>
      <c r="O202" s="2"/>
      <c r="P202" s="2"/>
      <c r="Q202" s="2"/>
      <c r="R202" s="2"/>
      <c r="S202" s="2"/>
      <c r="T202" s="2"/>
      <c r="U202" s="2"/>
      <c r="V202" s="2"/>
      <c r="W202" s="2"/>
      <c r="X202" s="2"/>
      <c r="Y202" s="2"/>
      <c r="Z202" s="2"/>
    </row>
    <row r="203" ht="15.75" customHeight="1">
      <c r="A203" s="1"/>
      <c r="B203" s="1"/>
      <c r="C203" s="1"/>
      <c r="D203" s="1"/>
      <c r="E203" s="1"/>
      <c r="F203" s="1"/>
      <c r="G203" s="1"/>
      <c r="H203" s="1"/>
      <c r="I203" s="2"/>
      <c r="J203" s="2"/>
      <c r="K203" s="2"/>
      <c r="L203" s="2"/>
      <c r="M203" s="2"/>
      <c r="N203" s="2"/>
      <c r="O203" s="2"/>
      <c r="P203" s="2"/>
      <c r="Q203" s="2"/>
      <c r="R203" s="2"/>
      <c r="S203" s="2"/>
      <c r="T203" s="2"/>
      <c r="U203" s="2"/>
      <c r="V203" s="2"/>
      <c r="W203" s="2"/>
      <c r="X203" s="2"/>
      <c r="Y203" s="2"/>
      <c r="Z203" s="2"/>
    </row>
    <row r="204" ht="15.75" customHeight="1">
      <c r="A204" s="1"/>
      <c r="B204" s="1"/>
      <c r="C204" s="1"/>
      <c r="D204" s="1"/>
      <c r="E204" s="1"/>
      <c r="F204" s="1"/>
      <c r="G204" s="1"/>
      <c r="H204" s="1"/>
      <c r="I204" s="2"/>
      <c r="J204" s="2"/>
      <c r="K204" s="2"/>
      <c r="L204" s="2"/>
      <c r="M204" s="2"/>
      <c r="N204" s="2"/>
      <c r="O204" s="2"/>
      <c r="P204" s="2"/>
      <c r="Q204" s="2"/>
      <c r="R204" s="2"/>
      <c r="S204" s="2"/>
      <c r="T204" s="2"/>
      <c r="U204" s="2"/>
      <c r="V204" s="2"/>
      <c r="W204" s="2"/>
      <c r="X204" s="2"/>
      <c r="Y204" s="2"/>
      <c r="Z204" s="2"/>
    </row>
    <row r="205" ht="15.75" customHeight="1">
      <c r="A205" s="1"/>
      <c r="B205" s="1"/>
      <c r="C205" s="1"/>
      <c r="D205" s="1"/>
      <c r="E205" s="1"/>
      <c r="F205" s="1"/>
      <c r="G205" s="1"/>
      <c r="H205" s="1"/>
      <c r="I205" s="2"/>
      <c r="J205" s="2"/>
      <c r="K205" s="2"/>
      <c r="L205" s="2"/>
      <c r="M205" s="2"/>
      <c r="N205" s="2"/>
      <c r="O205" s="2"/>
      <c r="P205" s="2"/>
      <c r="Q205" s="2"/>
      <c r="R205" s="2"/>
      <c r="S205" s="2"/>
      <c r="T205" s="2"/>
      <c r="U205" s="2"/>
      <c r="V205" s="2"/>
      <c r="W205" s="2"/>
      <c r="X205" s="2"/>
      <c r="Y205" s="2"/>
      <c r="Z205" s="2"/>
    </row>
    <row r="206" ht="15.75" customHeight="1">
      <c r="A206" s="1"/>
      <c r="B206" s="1"/>
      <c r="C206" s="1"/>
      <c r="D206" s="1"/>
      <c r="E206" s="1"/>
      <c r="F206" s="1"/>
      <c r="G206" s="1"/>
      <c r="H206" s="1"/>
      <c r="I206" s="2"/>
      <c r="J206" s="2"/>
      <c r="K206" s="2"/>
      <c r="L206" s="2"/>
      <c r="M206" s="2"/>
      <c r="N206" s="2"/>
      <c r="O206" s="2"/>
      <c r="P206" s="2"/>
      <c r="Q206" s="2"/>
      <c r="R206" s="2"/>
      <c r="S206" s="2"/>
      <c r="T206" s="2"/>
      <c r="U206" s="2"/>
      <c r="V206" s="2"/>
      <c r="W206" s="2"/>
      <c r="X206" s="2"/>
      <c r="Y206" s="2"/>
      <c r="Z206" s="2"/>
    </row>
    <row r="207" ht="15.75" customHeight="1">
      <c r="A207" s="1"/>
      <c r="B207" s="1"/>
      <c r="C207" s="1"/>
      <c r="D207" s="1"/>
      <c r="E207" s="1"/>
      <c r="F207" s="1"/>
      <c r="G207" s="1"/>
      <c r="H207" s="1"/>
      <c r="I207" s="2"/>
      <c r="J207" s="2"/>
      <c r="K207" s="2"/>
      <c r="L207" s="2"/>
      <c r="M207" s="2"/>
      <c r="N207" s="2"/>
      <c r="O207" s="2"/>
      <c r="P207" s="2"/>
      <c r="Q207" s="2"/>
      <c r="R207" s="2"/>
      <c r="S207" s="2"/>
      <c r="T207" s="2"/>
      <c r="U207" s="2"/>
      <c r="V207" s="2"/>
      <c r="W207" s="2"/>
      <c r="X207" s="2"/>
      <c r="Y207" s="2"/>
      <c r="Z207" s="2"/>
    </row>
    <row r="208" ht="15.75" customHeight="1">
      <c r="A208" s="1"/>
      <c r="B208" s="1"/>
      <c r="C208" s="1"/>
      <c r="D208" s="1"/>
      <c r="E208" s="1"/>
      <c r="F208" s="1"/>
      <c r="G208" s="1"/>
      <c r="H208" s="1"/>
      <c r="I208" s="2"/>
      <c r="J208" s="2"/>
      <c r="K208" s="2"/>
      <c r="L208" s="2"/>
      <c r="M208" s="2"/>
      <c r="N208" s="2"/>
      <c r="O208" s="2"/>
      <c r="P208" s="2"/>
      <c r="Q208" s="2"/>
      <c r="R208" s="2"/>
      <c r="S208" s="2"/>
      <c r="T208" s="2"/>
      <c r="U208" s="2"/>
      <c r="V208" s="2"/>
      <c r="W208" s="2"/>
      <c r="X208" s="2"/>
      <c r="Y208" s="2"/>
      <c r="Z208" s="2"/>
    </row>
    <row r="209" ht="15.75" customHeight="1">
      <c r="A209" s="1"/>
      <c r="B209" s="1"/>
      <c r="C209" s="1"/>
      <c r="D209" s="1"/>
      <c r="E209" s="1"/>
      <c r="F209" s="1"/>
      <c r="G209" s="1"/>
      <c r="H209" s="1"/>
      <c r="I209" s="2"/>
      <c r="J209" s="2"/>
      <c r="K209" s="2"/>
      <c r="L209" s="2"/>
      <c r="M209" s="2"/>
      <c r="N209" s="2"/>
      <c r="O209" s="2"/>
      <c r="P209" s="2"/>
      <c r="Q209" s="2"/>
      <c r="R209" s="2"/>
      <c r="S209" s="2"/>
      <c r="T209" s="2"/>
      <c r="U209" s="2"/>
      <c r="V209" s="2"/>
      <c r="W209" s="2"/>
      <c r="X209" s="2"/>
      <c r="Y209" s="2"/>
      <c r="Z209" s="2"/>
    </row>
    <row r="210" ht="15.75" customHeight="1">
      <c r="A210" s="1"/>
      <c r="B210" s="1"/>
      <c r="C210" s="1"/>
      <c r="D210" s="1"/>
      <c r="E210" s="1"/>
      <c r="F210" s="1"/>
      <c r="G210" s="1"/>
      <c r="H210" s="1"/>
      <c r="I210" s="2"/>
      <c r="J210" s="2"/>
      <c r="K210" s="2"/>
      <c r="L210" s="2"/>
      <c r="M210" s="2"/>
      <c r="N210" s="2"/>
      <c r="O210" s="2"/>
      <c r="P210" s="2"/>
      <c r="Q210" s="2"/>
      <c r="R210" s="2"/>
      <c r="S210" s="2"/>
      <c r="T210" s="2"/>
      <c r="U210" s="2"/>
      <c r="V210" s="2"/>
      <c r="W210" s="2"/>
      <c r="X210" s="2"/>
      <c r="Y210" s="2"/>
      <c r="Z210" s="2"/>
    </row>
    <row r="211" ht="15.75" customHeight="1">
      <c r="A211" s="1"/>
      <c r="B211" s="1"/>
      <c r="C211" s="1"/>
      <c r="D211" s="1"/>
      <c r="E211" s="1"/>
      <c r="F211" s="1"/>
      <c r="G211" s="1"/>
      <c r="H211" s="1"/>
      <c r="I211" s="2"/>
      <c r="J211" s="2"/>
      <c r="K211" s="2"/>
      <c r="L211" s="2"/>
      <c r="M211" s="2"/>
      <c r="N211" s="2"/>
      <c r="O211" s="2"/>
      <c r="P211" s="2"/>
      <c r="Q211" s="2"/>
      <c r="R211" s="2"/>
      <c r="S211" s="2"/>
      <c r="T211" s="2"/>
      <c r="U211" s="2"/>
      <c r="V211" s="2"/>
      <c r="W211" s="2"/>
      <c r="X211" s="2"/>
      <c r="Y211" s="2"/>
      <c r="Z211" s="2"/>
    </row>
    <row r="212" ht="15.75" customHeight="1">
      <c r="A212" s="1"/>
      <c r="B212" s="1"/>
      <c r="C212" s="1"/>
      <c r="D212" s="1"/>
      <c r="E212" s="1"/>
      <c r="F212" s="1"/>
      <c r="G212" s="1"/>
      <c r="H212" s="1"/>
      <c r="I212" s="2"/>
      <c r="J212" s="2"/>
      <c r="K212" s="2"/>
      <c r="L212" s="2"/>
      <c r="M212" s="2"/>
      <c r="N212" s="2"/>
      <c r="O212" s="2"/>
      <c r="P212" s="2"/>
      <c r="Q212" s="2"/>
      <c r="R212" s="2"/>
      <c r="S212" s="2"/>
      <c r="T212" s="2"/>
      <c r="U212" s="2"/>
      <c r="V212" s="2"/>
      <c r="W212" s="2"/>
      <c r="X212" s="2"/>
      <c r="Y212" s="2"/>
      <c r="Z212" s="2"/>
    </row>
    <row r="213" ht="15.75" customHeight="1">
      <c r="A213" s="1"/>
      <c r="B213" s="1"/>
      <c r="C213" s="1"/>
      <c r="D213" s="1"/>
      <c r="E213" s="1"/>
      <c r="F213" s="1"/>
      <c r="G213" s="1"/>
      <c r="H213" s="1"/>
      <c r="I213" s="2"/>
      <c r="J213" s="2"/>
      <c r="K213" s="2"/>
      <c r="L213" s="2"/>
      <c r="M213" s="2"/>
      <c r="N213" s="2"/>
      <c r="O213" s="2"/>
      <c r="P213" s="2"/>
      <c r="Q213" s="2"/>
      <c r="R213" s="2"/>
      <c r="S213" s="2"/>
      <c r="T213" s="2"/>
      <c r="U213" s="2"/>
      <c r="V213" s="2"/>
      <c r="W213" s="2"/>
      <c r="X213" s="2"/>
      <c r="Y213" s="2"/>
      <c r="Z213" s="2"/>
    </row>
    <row r="214" ht="15.75" customHeight="1">
      <c r="A214" s="1"/>
      <c r="B214" s="1"/>
      <c r="C214" s="1"/>
      <c r="D214" s="1"/>
      <c r="E214" s="1"/>
      <c r="F214" s="1"/>
      <c r="G214" s="1"/>
      <c r="H214" s="1"/>
      <c r="I214" s="2"/>
      <c r="J214" s="2"/>
      <c r="K214" s="2"/>
      <c r="L214" s="2"/>
      <c r="M214" s="2"/>
      <c r="N214" s="2"/>
      <c r="O214" s="2"/>
      <c r="P214" s="2"/>
      <c r="Q214" s="2"/>
      <c r="R214" s="2"/>
      <c r="S214" s="2"/>
      <c r="T214" s="2"/>
      <c r="U214" s="2"/>
      <c r="V214" s="2"/>
      <c r="W214" s="2"/>
      <c r="X214" s="2"/>
      <c r="Y214" s="2"/>
      <c r="Z214" s="2"/>
    </row>
    <row r="215" ht="15.75" customHeight="1">
      <c r="A215" s="1"/>
      <c r="B215" s="1"/>
      <c r="C215" s="1"/>
      <c r="D215" s="1"/>
      <c r="E215" s="1"/>
      <c r="F215" s="1"/>
      <c r="G215" s="1"/>
      <c r="H215" s="1"/>
      <c r="I215" s="2"/>
      <c r="J215" s="2"/>
      <c r="K215" s="2"/>
      <c r="L215" s="2"/>
      <c r="M215" s="2"/>
      <c r="N215" s="2"/>
      <c r="O215" s="2"/>
      <c r="P215" s="2"/>
      <c r="Q215" s="2"/>
      <c r="R215" s="2"/>
      <c r="S215" s="2"/>
      <c r="T215" s="2"/>
      <c r="U215" s="2"/>
      <c r="V215" s="2"/>
      <c r="W215" s="2"/>
      <c r="X215" s="2"/>
      <c r="Y215" s="2"/>
      <c r="Z215" s="2"/>
    </row>
    <row r="216" ht="15.75" customHeight="1">
      <c r="A216" s="1"/>
      <c r="B216" s="1"/>
      <c r="C216" s="1"/>
      <c r="D216" s="1"/>
      <c r="E216" s="1"/>
      <c r="F216" s="1"/>
      <c r="G216" s="1"/>
      <c r="H216" s="1"/>
      <c r="I216" s="2"/>
      <c r="J216" s="2"/>
      <c r="K216" s="2"/>
      <c r="L216" s="2"/>
      <c r="M216" s="2"/>
      <c r="N216" s="2"/>
      <c r="O216" s="2"/>
      <c r="P216" s="2"/>
      <c r="Q216" s="2"/>
      <c r="R216" s="2"/>
      <c r="S216" s="2"/>
      <c r="T216" s="2"/>
      <c r="U216" s="2"/>
      <c r="V216" s="2"/>
      <c r="W216" s="2"/>
      <c r="X216" s="2"/>
      <c r="Y216" s="2"/>
      <c r="Z216" s="2"/>
    </row>
    <row r="217" ht="15.75" customHeight="1">
      <c r="A217" s="1"/>
      <c r="B217" s="1"/>
      <c r="C217" s="1"/>
      <c r="D217" s="1"/>
      <c r="E217" s="1"/>
      <c r="F217" s="1"/>
      <c r="G217" s="1"/>
      <c r="H217" s="1"/>
      <c r="I217" s="2"/>
      <c r="J217" s="2"/>
      <c r="K217" s="2"/>
      <c r="L217" s="2"/>
      <c r="M217" s="2"/>
      <c r="N217" s="2"/>
      <c r="O217" s="2"/>
      <c r="P217" s="2"/>
      <c r="Q217" s="2"/>
      <c r="R217" s="2"/>
      <c r="S217" s="2"/>
      <c r="T217" s="2"/>
      <c r="U217" s="2"/>
      <c r="V217" s="2"/>
      <c r="W217" s="2"/>
      <c r="X217" s="2"/>
      <c r="Y217" s="2"/>
      <c r="Z217" s="2"/>
    </row>
    <row r="218" ht="15.75" customHeight="1">
      <c r="A218" s="1"/>
      <c r="B218" s="1"/>
      <c r="C218" s="1"/>
      <c r="D218" s="1"/>
      <c r="E218" s="1"/>
      <c r="F218" s="1"/>
      <c r="G218" s="1"/>
      <c r="H218" s="1"/>
      <c r="I218" s="2"/>
      <c r="J218" s="2"/>
      <c r="K218" s="2"/>
      <c r="L218" s="2"/>
      <c r="M218" s="2"/>
      <c r="N218" s="2"/>
      <c r="O218" s="2"/>
      <c r="P218" s="2"/>
      <c r="Q218" s="2"/>
      <c r="R218" s="2"/>
      <c r="S218" s="2"/>
      <c r="T218" s="2"/>
      <c r="U218" s="2"/>
      <c r="V218" s="2"/>
      <c r="W218" s="2"/>
      <c r="X218" s="2"/>
      <c r="Y218" s="2"/>
      <c r="Z218" s="2"/>
    </row>
    <row r="219" ht="15.75" customHeight="1">
      <c r="A219" s="1"/>
      <c r="B219" s="1"/>
      <c r="C219" s="1"/>
      <c r="D219" s="1"/>
      <c r="E219" s="1"/>
      <c r="F219" s="1"/>
      <c r="G219" s="1"/>
      <c r="H219" s="1"/>
      <c r="I219" s="2"/>
      <c r="J219" s="2"/>
      <c r="K219" s="2"/>
      <c r="L219" s="2"/>
      <c r="M219" s="2"/>
      <c r="N219" s="2"/>
      <c r="O219" s="2"/>
      <c r="P219" s="2"/>
      <c r="Q219" s="2"/>
      <c r="R219" s="2"/>
      <c r="S219" s="2"/>
      <c r="T219" s="2"/>
      <c r="U219" s="2"/>
      <c r="V219" s="2"/>
      <c r="W219" s="2"/>
      <c r="X219" s="2"/>
      <c r="Y219" s="2"/>
      <c r="Z219" s="2"/>
    </row>
    <row r="220" ht="15.75" customHeight="1">
      <c r="A220" s="1"/>
      <c r="B220" s="1"/>
      <c r="C220" s="1"/>
      <c r="D220" s="1"/>
      <c r="E220" s="1"/>
      <c r="F220" s="1"/>
      <c r="G220" s="1"/>
      <c r="H220" s="1"/>
      <c r="I220" s="2"/>
      <c r="J220" s="2"/>
      <c r="K220" s="2"/>
      <c r="L220" s="2"/>
      <c r="M220" s="2"/>
      <c r="N220" s="2"/>
      <c r="O220" s="2"/>
      <c r="P220" s="2"/>
      <c r="Q220" s="2"/>
      <c r="R220" s="2"/>
      <c r="S220" s="2"/>
      <c r="T220" s="2"/>
      <c r="U220" s="2"/>
      <c r="V220" s="2"/>
      <c r="W220" s="2"/>
      <c r="X220" s="2"/>
      <c r="Y220" s="2"/>
      <c r="Z220" s="2"/>
    </row>
    <row r="221" ht="15.75" customHeight="1">
      <c r="A221" s="1"/>
      <c r="B221" s="1"/>
      <c r="C221" s="1"/>
      <c r="D221" s="1"/>
      <c r="E221" s="1"/>
      <c r="F221" s="1"/>
      <c r="G221" s="1"/>
      <c r="H221" s="1"/>
      <c r="I221" s="2"/>
      <c r="J221" s="2"/>
      <c r="K221" s="2"/>
      <c r="L221" s="2"/>
      <c r="M221" s="2"/>
      <c r="N221" s="2"/>
      <c r="O221" s="2"/>
      <c r="P221" s="2"/>
      <c r="Q221" s="2"/>
      <c r="R221" s="2"/>
      <c r="S221" s="2"/>
      <c r="T221" s="2"/>
      <c r="U221" s="2"/>
      <c r="V221" s="2"/>
      <c r="W221" s="2"/>
      <c r="X221" s="2"/>
      <c r="Y221" s="2"/>
      <c r="Z221" s="2"/>
    </row>
    <row r="222" ht="15.75" customHeight="1">
      <c r="A222" s="1"/>
      <c r="B222" s="1"/>
      <c r="C222" s="1"/>
      <c r="D222" s="1"/>
      <c r="E222" s="1"/>
      <c r="F222" s="1"/>
      <c r="G222" s="1"/>
      <c r="H222" s="1"/>
      <c r="I222" s="2"/>
      <c r="J222" s="2"/>
      <c r="K222" s="2"/>
      <c r="L222" s="2"/>
      <c r="M222" s="2"/>
      <c r="N222" s="2"/>
      <c r="O222" s="2"/>
      <c r="P222" s="2"/>
      <c r="Q222" s="2"/>
      <c r="R222" s="2"/>
      <c r="S222" s="2"/>
      <c r="T222" s="2"/>
      <c r="U222" s="2"/>
      <c r="V222" s="2"/>
      <c r="W222" s="2"/>
      <c r="X222" s="2"/>
      <c r="Y222" s="2"/>
      <c r="Z222" s="2"/>
    </row>
    <row r="223" ht="15.75" customHeight="1">
      <c r="A223" s="1"/>
      <c r="B223" s="1"/>
      <c r="C223" s="1"/>
      <c r="D223" s="1"/>
      <c r="E223" s="1"/>
      <c r="F223" s="1"/>
      <c r="G223" s="1"/>
      <c r="H223" s="1"/>
      <c r="I223" s="2"/>
      <c r="J223" s="2"/>
      <c r="K223" s="2"/>
      <c r="L223" s="2"/>
      <c r="M223" s="2"/>
      <c r="N223" s="2"/>
      <c r="O223" s="2"/>
      <c r="P223" s="2"/>
      <c r="Q223" s="2"/>
      <c r="R223" s="2"/>
      <c r="S223" s="2"/>
      <c r="T223" s="2"/>
      <c r="U223" s="2"/>
      <c r="V223" s="2"/>
      <c r="W223" s="2"/>
      <c r="X223" s="2"/>
      <c r="Y223" s="2"/>
      <c r="Z223" s="2"/>
    </row>
    <row r="224" ht="15.75" customHeight="1">
      <c r="A224" s="1"/>
      <c r="B224" s="1"/>
      <c r="C224" s="1"/>
      <c r="D224" s="1"/>
      <c r="E224" s="1"/>
      <c r="F224" s="1"/>
      <c r="G224" s="1"/>
      <c r="H224" s="1"/>
      <c r="I224" s="2"/>
      <c r="J224" s="2"/>
      <c r="K224" s="2"/>
      <c r="L224" s="2"/>
      <c r="M224" s="2"/>
      <c r="N224" s="2"/>
      <c r="O224" s="2"/>
      <c r="P224" s="2"/>
      <c r="Q224" s="2"/>
      <c r="R224" s="2"/>
      <c r="S224" s="2"/>
      <c r="T224" s="2"/>
      <c r="U224" s="2"/>
      <c r="V224" s="2"/>
      <c r="W224" s="2"/>
      <c r="X224" s="2"/>
      <c r="Y224" s="2"/>
      <c r="Z224" s="2"/>
    </row>
    <row r="225" ht="15.75" customHeight="1">
      <c r="A225" s="1"/>
      <c r="B225" s="1"/>
      <c r="C225" s="1"/>
      <c r="D225" s="1"/>
      <c r="E225" s="1"/>
      <c r="F225" s="1"/>
      <c r="G225" s="1"/>
      <c r="H225" s="1"/>
      <c r="I225" s="2"/>
      <c r="J225" s="2"/>
      <c r="K225" s="2"/>
      <c r="L225" s="2"/>
      <c r="M225" s="2"/>
      <c r="N225" s="2"/>
      <c r="O225" s="2"/>
      <c r="P225" s="2"/>
      <c r="Q225" s="2"/>
      <c r="R225" s="2"/>
      <c r="S225" s="2"/>
      <c r="T225" s="2"/>
      <c r="U225" s="2"/>
      <c r="V225" s="2"/>
      <c r="W225" s="2"/>
      <c r="X225" s="2"/>
      <c r="Y225" s="2"/>
      <c r="Z225" s="2"/>
    </row>
    <row r="226" ht="15.75" customHeight="1">
      <c r="A226" s="1"/>
      <c r="B226" s="1"/>
      <c r="C226" s="1"/>
      <c r="D226" s="1"/>
      <c r="E226" s="1"/>
      <c r="F226" s="1"/>
      <c r="G226" s="1"/>
      <c r="H226" s="1"/>
      <c r="I226" s="2"/>
      <c r="J226" s="2"/>
      <c r="K226" s="2"/>
      <c r="L226" s="2"/>
      <c r="M226" s="2"/>
      <c r="N226" s="2"/>
      <c r="O226" s="2"/>
      <c r="P226" s="2"/>
      <c r="Q226" s="2"/>
      <c r="R226" s="2"/>
      <c r="S226" s="2"/>
      <c r="T226" s="2"/>
      <c r="U226" s="2"/>
      <c r="V226" s="2"/>
      <c r="W226" s="2"/>
      <c r="X226" s="2"/>
      <c r="Y226" s="2"/>
      <c r="Z226" s="2"/>
    </row>
    <row r="227" ht="15.75" customHeight="1">
      <c r="A227" s="1"/>
      <c r="B227" s="1"/>
      <c r="C227" s="1"/>
      <c r="D227" s="1"/>
      <c r="E227" s="1"/>
      <c r="F227" s="1"/>
      <c r="G227" s="1"/>
      <c r="H227" s="1"/>
      <c r="I227" s="2"/>
      <c r="J227" s="2"/>
      <c r="K227" s="2"/>
      <c r="L227" s="2"/>
      <c r="M227" s="2"/>
      <c r="N227" s="2"/>
      <c r="O227" s="2"/>
      <c r="P227" s="2"/>
      <c r="Q227" s="2"/>
      <c r="R227" s="2"/>
      <c r="S227" s="2"/>
      <c r="T227" s="2"/>
      <c r="U227" s="2"/>
      <c r="V227" s="2"/>
      <c r="W227" s="2"/>
      <c r="X227" s="2"/>
      <c r="Y227" s="2"/>
      <c r="Z227" s="2"/>
    </row>
    <row r="228" ht="15.75" customHeight="1">
      <c r="A228" s="1"/>
      <c r="B228" s="1"/>
      <c r="C228" s="1"/>
      <c r="D228" s="1"/>
      <c r="E228" s="1"/>
      <c r="F228" s="1"/>
      <c r="G228" s="1"/>
      <c r="H228" s="1"/>
      <c r="I228" s="2"/>
      <c r="J228" s="2"/>
      <c r="K228" s="2"/>
      <c r="L228" s="2"/>
      <c r="M228" s="2"/>
      <c r="N228" s="2"/>
      <c r="O228" s="2"/>
      <c r="P228" s="2"/>
      <c r="Q228" s="2"/>
      <c r="R228" s="2"/>
      <c r="S228" s="2"/>
      <c r="T228" s="2"/>
      <c r="U228" s="2"/>
      <c r="V228" s="2"/>
      <c r="W228" s="2"/>
      <c r="X228" s="2"/>
      <c r="Y228" s="2"/>
      <c r="Z228" s="2"/>
    </row>
    <row r="229" ht="15.75" customHeight="1">
      <c r="A229" s="1"/>
      <c r="B229" s="1"/>
      <c r="C229" s="1"/>
      <c r="D229" s="1"/>
      <c r="E229" s="1"/>
      <c r="F229" s="1"/>
      <c r="G229" s="1"/>
      <c r="H229" s="1"/>
      <c r="I229" s="2"/>
      <c r="J229" s="2"/>
      <c r="K229" s="2"/>
      <c r="L229" s="2"/>
      <c r="M229" s="2"/>
      <c r="N229" s="2"/>
      <c r="O229" s="2"/>
      <c r="P229" s="2"/>
      <c r="Q229" s="2"/>
      <c r="R229" s="2"/>
      <c r="S229" s="2"/>
      <c r="T229" s="2"/>
      <c r="U229" s="2"/>
      <c r="V229" s="2"/>
      <c r="W229" s="2"/>
      <c r="X229" s="2"/>
      <c r="Y229" s="2"/>
      <c r="Z229" s="2"/>
    </row>
    <row r="230" ht="15.75" customHeight="1">
      <c r="A230" s="1"/>
      <c r="B230" s="1"/>
      <c r="C230" s="1"/>
      <c r="D230" s="1"/>
      <c r="E230" s="1"/>
      <c r="F230" s="1"/>
      <c r="G230" s="1"/>
      <c r="H230" s="1"/>
      <c r="I230" s="2"/>
      <c r="J230" s="2"/>
      <c r="K230" s="2"/>
      <c r="L230" s="2"/>
      <c r="M230" s="2"/>
      <c r="N230" s="2"/>
      <c r="O230" s="2"/>
      <c r="P230" s="2"/>
      <c r="Q230" s="2"/>
      <c r="R230" s="2"/>
      <c r="S230" s="2"/>
      <c r="T230" s="2"/>
      <c r="U230" s="2"/>
      <c r="V230" s="2"/>
      <c r="W230" s="2"/>
      <c r="X230" s="2"/>
      <c r="Y230" s="2"/>
      <c r="Z230" s="2"/>
    </row>
    <row r="231" ht="15.75" customHeight="1">
      <c r="A231" s="1"/>
      <c r="B231" s="1"/>
      <c r="C231" s="1"/>
      <c r="D231" s="1"/>
      <c r="E231" s="1"/>
      <c r="F231" s="1"/>
      <c r="G231" s="1"/>
      <c r="H231" s="1"/>
      <c r="I231" s="2"/>
      <c r="J231" s="2"/>
      <c r="K231" s="2"/>
      <c r="L231" s="2"/>
      <c r="M231" s="2"/>
      <c r="N231" s="2"/>
      <c r="O231" s="2"/>
      <c r="P231" s="2"/>
      <c r="Q231" s="2"/>
      <c r="R231" s="2"/>
      <c r="S231" s="2"/>
      <c r="T231" s="2"/>
      <c r="U231" s="2"/>
      <c r="V231" s="2"/>
      <c r="W231" s="2"/>
      <c r="X231" s="2"/>
      <c r="Y231" s="2"/>
      <c r="Z231" s="2"/>
    </row>
    <row r="232" ht="15.75" customHeight="1">
      <c r="A232" s="1"/>
      <c r="B232" s="1"/>
      <c r="C232" s="1"/>
      <c r="D232" s="1"/>
      <c r="E232" s="1"/>
      <c r="F232" s="1"/>
      <c r="G232" s="1"/>
      <c r="H232" s="1"/>
      <c r="I232" s="2"/>
      <c r="J232" s="2"/>
      <c r="K232" s="2"/>
      <c r="L232" s="2"/>
      <c r="M232" s="2"/>
      <c r="N232" s="2"/>
      <c r="O232" s="2"/>
      <c r="P232" s="2"/>
      <c r="Q232" s="2"/>
      <c r="R232" s="2"/>
      <c r="S232" s="2"/>
      <c r="T232" s="2"/>
      <c r="U232" s="2"/>
      <c r="V232" s="2"/>
      <c r="W232" s="2"/>
      <c r="X232" s="2"/>
      <c r="Y232" s="2"/>
      <c r="Z232" s="2"/>
    </row>
    <row r="233" ht="15.75" customHeight="1">
      <c r="A233" s="1"/>
      <c r="B233" s="1"/>
      <c r="C233" s="1"/>
      <c r="D233" s="1"/>
      <c r="E233" s="1"/>
      <c r="F233" s="1"/>
      <c r="G233" s="1"/>
      <c r="H233" s="1"/>
      <c r="I233" s="2"/>
      <c r="J233" s="2"/>
      <c r="K233" s="2"/>
      <c r="L233" s="2"/>
      <c r="M233" s="2"/>
      <c r="N233" s="2"/>
      <c r="O233" s="2"/>
      <c r="P233" s="2"/>
      <c r="Q233" s="2"/>
      <c r="R233" s="2"/>
      <c r="S233" s="2"/>
      <c r="T233" s="2"/>
      <c r="U233" s="2"/>
      <c r="V233" s="2"/>
      <c r="W233" s="2"/>
      <c r="X233" s="2"/>
      <c r="Y233" s="2"/>
      <c r="Z233" s="2"/>
    </row>
    <row r="234" ht="15.75" customHeight="1">
      <c r="A234" s="1"/>
      <c r="B234" s="1"/>
      <c r="C234" s="1"/>
      <c r="D234" s="1"/>
      <c r="E234" s="1"/>
      <c r="F234" s="1"/>
      <c r="G234" s="1"/>
      <c r="H234" s="1"/>
      <c r="I234" s="2"/>
      <c r="J234" s="2"/>
      <c r="K234" s="2"/>
      <c r="L234" s="2"/>
      <c r="M234" s="2"/>
      <c r="N234" s="2"/>
      <c r="O234" s="2"/>
      <c r="P234" s="2"/>
      <c r="Q234" s="2"/>
      <c r="R234" s="2"/>
      <c r="S234" s="2"/>
      <c r="T234" s="2"/>
      <c r="U234" s="2"/>
      <c r="V234" s="2"/>
      <c r="W234" s="2"/>
      <c r="X234" s="2"/>
      <c r="Y234" s="2"/>
      <c r="Z234" s="2"/>
    </row>
    <row r="235" ht="15.75" customHeight="1">
      <c r="A235" s="1"/>
      <c r="B235" s="1"/>
      <c r="C235" s="1"/>
      <c r="D235" s="1"/>
      <c r="E235" s="1"/>
      <c r="F235" s="1"/>
      <c r="G235" s="1"/>
      <c r="H235" s="1"/>
      <c r="I235" s="2"/>
      <c r="J235" s="2"/>
      <c r="K235" s="2"/>
      <c r="L235" s="2"/>
      <c r="M235" s="2"/>
      <c r="N235" s="2"/>
      <c r="O235" s="2"/>
      <c r="P235" s="2"/>
      <c r="Q235" s="2"/>
      <c r="R235" s="2"/>
      <c r="S235" s="2"/>
      <c r="T235" s="2"/>
      <c r="U235" s="2"/>
      <c r="V235" s="2"/>
      <c r="W235" s="2"/>
      <c r="X235" s="2"/>
      <c r="Y235" s="2"/>
      <c r="Z235" s="2"/>
    </row>
    <row r="236" ht="15.75" customHeight="1">
      <c r="A236" s="1"/>
      <c r="B236" s="1"/>
      <c r="C236" s="1"/>
      <c r="D236" s="1"/>
      <c r="E236" s="1"/>
      <c r="F236" s="1"/>
      <c r="G236" s="1"/>
      <c r="H236" s="1"/>
      <c r="I236" s="2"/>
      <c r="J236" s="2"/>
      <c r="K236" s="2"/>
      <c r="L236" s="2"/>
      <c r="M236" s="2"/>
      <c r="N236" s="2"/>
      <c r="O236" s="2"/>
      <c r="P236" s="2"/>
      <c r="Q236" s="2"/>
      <c r="R236" s="2"/>
      <c r="S236" s="2"/>
      <c r="T236" s="2"/>
      <c r="U236" s="2"/>
      <c r="V236" s="2"/>
      <c r="W236" s="2"/>
      <c r="X236" s="2"/>
      <c r="Y236" s="2"/>
      <c r="Z236" s="2"/>
    </row>
    <row r="237" ht="15.75" customHeight="1">
      <c r="A237" s="1"/>
      <c r="B237" s="1"/>
      <c r="C237" s="1"/>
      <c r="D237" s="1"/>
      <c r="E237" s="1"/>
      <c r="F237" s="1"/>
      <c r="G237" s="1"/>
      <c r="H237" s="1"/>
      <c r="I237" s="2"/>
      <c r="J237" s="2"/>
      <c r="K237" s="2"/>
      <c r="L237" s="2"/>
      <c r="M237" s="2"/>
      <c r="N237" s="2"/>
      <c r="O237" s="2"/>
      <c r="P237" s="2"/>
      <c r="Q237" s="2"/>
      <c r="R237" s="2"/>
      <c r="S237" s="2"/>
      <c r="T237" s="2"/>
      <c r="U237" s="2"/>
      <c r="V237" s="2"/>
      <c r="W237" s="2"/>
      <c r="X237" s="2"/>
      <c r="Y237" s="2"/>
      <c r="Z237" s="2"/>
    </row>
    <row r="238" ht="15.75" customHeight="1">
      <c r="A238" s="1"/>
      <c r="B238" s="1"/>
      <c r="C238" s="1"/>
      <c r="D238" s="1"/>
      <c r="E238" s="1"/>
      <c r="F238" s="1"/>
      <c r="G238" s="1"/>
      <c r="H238" s="1"/>
      <c r="I238" s="2"/>
      <c r="J238" s="2"/>
      <c r="K238" s="2"/>
      <c r="L238" s="2"/>
      <c r="M238" s="2"/>
      <c r="N238" s="2"/>
      <c r="O238" s="2"/>
      <c r="P238" s="2"/>
      <c r="Q238" s="2"/>
      <c r="R238" s="2"/>
      <c r="S238" s="2"/>
      <c r="T238" s="2"/>
      <c r="U238" s="2"/>
      <c r="V238" s="2"/>
      <c r="W238" s="2"/>
      <c r="X238" s="2"/>
      <c r="Y238" s="2"/>
      <c r="Z238" s="2"/>
    </row>
    <row r="239" ht="15.75" customHeight="1">
      <c r="A239" s="1"/>
      <c r="B239" s="1"/>
      <c r="C239" s="1"/>
      <c r="D239" s="1"/>
      <c r="E239" s="1"/>
      <c r="F239" s="1"/>
      <c r="G239" s="1"/>
      <c r="H239" s="1"/>
      <c r="I239" s="2"/>
      <c r="J239" s="2"/>
      <c r="K239" s="2"/>
      <c r="L239" s="2"/>
      <c r="M239" s="2"/>
      <c r="N239" s="2"/>
      <c r="O239" s="2"/>
      <c r="P239" s="2"/>
      <c r="Q239" s="2"/>
      <c r="R239" s="2"/>
      <c r="S239" s="2"/>
      <c r="T239" s="2"/>
      <c r="U239" s="2"/>
      <c r="V239" s="2"/>
      <c r="W239" s="2"/>
      <c r="X239" s="2"/>
      <c r="Y239" s="2"/>
      <c r="Z239" s="2"/>
    </row>
    <row r="240" ht="15.75" customHeight="1">
      <c r="A240" s="1"/>
      <c r="B240" s="1"/>
      <c r="C240" s="1"/>
      <c r="D240" s="1"/>
      <c r="E240" s="1"/>
      <c r="F240" s="1"/>
      <c r="G240" s="1"/>
      <c r="H240" s="1"/>
      <c r="I240" s="2"/>
      <c r="J240" s="2"/>
      <c r="K240" s="2"/>
      <c r="L240" s="2"/>
      <c r="M240" s="2"/>
      <c r="N240" s="2"/>
      <c r="O240" s="2"/>
      <c r="P240" s="2"/>
      <c r="Q240" s="2"/>
      <c r="R240" s="2"/>
      <c r="S240" s="2"/>
      <c r="T240" s="2"/>
      <c r="U240" s="2"/>
      <c r="V240" s="2"/>
      <c r="W240" s="2"/>
      <c r="X240" s="2"/>
      <c r="Y240" s="2"/>
      <c r="Z240" s="2"/>
    </row>
    <row r="241" ht="15.75" customHeight="1">
      <c r="A241" s="1"/>
      <c r="B241" s="1"/>
      <c r="C241" s="1"/>
      <c r="D241" s="1"/>
      <c r="E241" s="1"/>
      <c r="F241" s="1"/>
      <c r="G241" s="1"/>
      <c r="H241" s="1"/>
      <c r="I241" s="2"/>
      <c r="J241" s="2"/>
      <c r="K241" s="2"/>
      <c r="L241" s="2"/>
      <c r="M241" s="2"/>
      <c r="N241" s="2"/>
      <c r="O241" s="2"/>
      <c r="P241" s="2"/>
      <c r="Q241" s="2"/>
      <c r="R241" s="2"/>
      <c r="S241" s="2"/>
      <c r="T241" s="2"/>
      <c r="U241" s="2"/>
      <c r="V241" s="2"/>
      <c r="W241" s="2"/>
      <c r="X241" s="2"/>
      <c r="Y241" s="2"/>
      <c r="Z241" s="2"/>
    </row>
    <row r="242" ht="15.75" customHeight="1">
      <c r="A242" s="1"/>
      <c r="B242" s="1"/>
      <c r="C242" s="1"/>
      <c r="D242" s="1"/>
      <c r="E242" s="1"/>
      <c r="F242" s="1"/>
      <c r="G242" s="1"/>
      <c r="H242" s="1"/>
      <c r="I242" s="2"/>
      <c r="J242" s="2"/>
      <c r="K242" s="2"/>
      <c r="L242" s="2"/>
      <c r="M242" s="2"/>
      <c r="N242" s="2"/>
      <c r="O242" s="2"/>
      <c r="P242" s="2"/>
      <c r="Q242" s="2"/>
      <c r="R242" s="2"/>
      <c r="S242" s="2"/>
      <c r="T242" s="2"/>
      <c r="U242" s="2"/>
      <c r="V242" s="2"/>
      <c r="W242" s="2"/>
      <c r="X242" s="2"/>
      <c r="Y242" s="2"/>
      <c r="Z242" s="2"/>
    </row>
    <row r="243" ht="15.75" customHeight="1">
      <c r="A243" s="1"/>
      <c r="B243" s="1"/>
      <c r="C243" s="1"/>
      <c r="D243" s="1"/>
      <c r="E243" s="1"/>
      <c r="F243" s="1"/>
      <c r="G243" s="1"/>
      <c r="H243" s="1"/>
      <c r="I243" s="2"/>
      <c r="J243" s="2"/>
      <c r="K243" s="2"/>
      <c r="L243" s="2"/>
      <c r="M243" s="2"/>
      <c r="N243" s="2"/>
      <c r="O243" s="2"/>
      <c r="P243" s="2"/>
      <c r="Q243" s="2"/>
      <c r="R243" s="2"/>
      <c r="S243" s="2"/>
      <c r="T243" s="2"/>
      <c r="U243" s="2"/>
      <c r="V243" s="2"/>
      <c r="W243" s="2"/>
      <c r="X243" s="2"/>
      <c r="Y243" s="2"/>
      <c r="Z243" s="2"/>
    </row>
    <row r="244" ht="15.75" customHeight="1">
      <c r="A244" s="1"/>
      <c r="B244" s="1"/>
      <c r="C244" s="1"/>
      <c r="D244" s="1"/>
      <c r="E244" s="1"/>
      <c r="F244" s="1"/>
      <c r="G244" s="1"/>
      <c r="H244" s="1"/>
      <c r="I244" s="2"/>
      <c r="J244" s="2"/>
      <c r="K244" s="2"/>
      <c r="L244" s="2"/>
      <c r="M244" s="2"/>
      <c r="N244" s="2"/>
      <c r="O244" s="2"/>
      <c r="P244" s="2"/>
      <c r="Q244" s="2"/>
      <c r="R244" s="2"/>
      <c r="S244" s="2"/>
      <c r="T244" s="2"/>
      <c r="U244" s="2"/>
      <c r="V244" s="2"/>
      <c r="W244" s="2"/>
      <c r="X244" s="2"/>
      <c r="Y244" s="2"/>
      <c r="Z244" s="2"/>
    </row>
    <row r="245" ht="15.75" customHeight="1">
      <c r="A245" s="1"/>
      <c r="B245" s="1"/>
      <c r="C245" s="1"/>
      <c r="D245" s="1"/>
      <c r="E245" s="1"/>
      <c r="F245" s="1"/>
      <c r="G245" s="1"/>
      <c r="H245" s="1"/>
      <c r="I245" s="2"/>
      <c r="J245" s="2"/>
      <c r="K245" s="2"/>
      <c r="L245" s="2"/>
      <c r="M245" s="2"/>
      <c r="N245" s="2"/>
      <c r="O245" s="2"/>
      <c r="P245" s="2"/>
      <c r="Q245" s="2"/>
      <c r="R245" s="2"/>
      <c r="S245" s="2"/>
      <c r="T245" s="2"/>
      <c r="U245" s="2"/>
      <c r="V245" s="2"/>
      <c r="W245" s="2"/>
      <c r="X245" s="2"/>
      <c r="Y245" s="2"/>
      <c r="Z245" s="2"/>
    </row>
    <row r="246" ht="15.75" customHeight="1">
      <c r="A246" s="1"/>
      <c r="B246" s="1"/>
      <c r="C246" s="1"/>
      <c r="D246" s="1"/>
      <c r="E246" s="1"/>
      <c r="F246" s="1"/>
      <c r="G246" s="1"/>
      <c r="H246" s="1"/>
      <c r="I246" s="2"/>
      <c r="J246" s="2"/>
      <c r="K246" s="2"/>
      <c r="L246" s="2"/>
      <c r="M246" s="2"/>
      <c r="N246" s="2"/>
      <c r="O246" s="2"/>
      <c r="P246" s="2"/>
      <c r="Q246" s="2"/>
      <c r="R246" s="2"/>
      <c r="S246" s="2"/>
      <c r="T246" s="2"/>
      <c r="U246" s="2"/>
      <c r="V246" s="2"/>
      <c r="W246" s="2"/>
      <c r="X246" s="2"/>
      <c r="Y246" s="2"/>
      <c r="Z246" s="2"/>
    </row>
    <row r="247" ht="15.75" customHeight="1">
      <c r="A247" s="1"/>
      <c r="B247" s="1"/>
      <c r="C247" s="1"/>
      <c r="D247" s="1"/>
      <c r="E247" s="1"/>
      <c r="F247" s="1"/>
      <c r="G247" s="1"/>
      <c r="H247" s="1"/>
      <c r="I247" s="2"/>
      <c r="J247" s="2"/>
      <c r="K247" s="2"/>
      <c r="L247" s="2"/>
      <c r="M247" s="2"/>
      <c r="N247" s="2"/>
      <c r="O247" s="2"/>
      <c r="P247" s="2"/>
      <c r="Q247" s="2"/>
      <c r="R247" s="2"/>
      <c r="S247" s="2"/>
      <c r="T247" s="2"/>
      <c r="U247" s="2"/>
      <c r="V247" s="2"/>
      <c r="W247" s="2"/>
      <c r="X247" s="2"/>
      <c r="Y247" s="2"/>
      <c r="Z247" s="2"/>
    </row>
    <row r="248" ht="15.75" customHeight="1">
      <c r="A248" s="1"/>
      <c r="B248" s="1"/>
      <c r="C248" s="1"/>
      <c r="D248" s="1"/>
      <c r="E248" s="1"/>
      <c r="F248" s="1"/>
      <c r="G248" s="1"/>
      <c r="H248" s="1"/>
      <c r="I248" s="2"/>
      <c r="J248" s="2"/>
      <c r="K248" s="2"/>
      <c r="L248" s="2"/>
      <c r="M248" s="2"/>
      <c r="N248" s="2"/>
      <c r="O248" s="2"/>
      <c r="P248" s="2"/>
      <c r="Q248" s="2"/>
      <c r="R248" s="2"/>
      <c r="S248" s="2"/>
      <c r="T248" s="2"/>
      <c r="U248" s="2"/>
      <c r="V248" s="2"/>
      <c r="W248" s="2"/>
      <c r="X248" s="2"/>
      <c r="Y248" s="2"/>
      <c r="Z248" s="2"/>
    </row>
    <row r="249" ht="15.75" customHeight="1">
      <c r="A249" s="1"/>
      <c r="B249" s="1"/>
      <c r="C249" s="1"/>
      <c r="D249" s="1"/>
      <c r="E249" s="1"/>
      <c r="F249" s="1"/>
      <c r="G249" s="1"/>
      <c r="H249" s="1"/>
      <c r="I249" s="2"/>
      <c r="J249" s="2"/>
      <c r="K249" s="2"/>
      <c r="L249" s="2"/>
      <c r="M249" s="2"/>
      <c r="N249" s="2"/>
      <c r="O249" s="2"/>
      <c r="P249" s="2"/>
      <c r="Q249" s="2"/>
      <c r="R249" s="2"/>
      <c r="S249" s="2"/>
      <c r="T249" s="2"/>
      <c r="U249" s="2"/>
      <c r="V249" s="2"/>
      <c r="W249" s="2"/>
      <c r="X249" s="2"/>
      <c r="Y249" s="2"/>
      <c r="Z249" s="2"/>
    </row>
    <row r="250" ht="15.75" customHeight="1">
      <c r="A250" s="1"/>
      <c r="B250" s="1"/>
      <c r="C250" s="1"/>
      <c r="D250" s="1"/>
      <c r="E250" s="1"/>
      <c r="F250" s="1"/>
      <c r="G250" s="1"/>
      <c r="H250" s="1"/>
      <c r="I250" s="2"/>
      <c r="J250" s="2"/>
      <c r="K250" s="2"/>
      <c r="L250" s="2"/>
      <c r="M250" s="2"/>
      <c r="N250" s="2"/>
      <c r="O250" s="2"/>
      <c r="P250" s="2"/>
      <c r="Q250" s="2"/>
      <c r="R250" s="2"/>
      <c r="S250" s="2"/>
      <c r="T250" s="2"/>
      <c r="U250" s="2"/>
      <c r="V250" s="2"/>
      <c r="W250" s="2"/>
      <c r="X250" s="2"/>
      <c r="Y250" s="2"/>
      <c r="Z250" s="2"/>
    </row>
    <row r="251" ht="15.75" customHeight="1">
      <c r="A251" s="1"/>
      <c r="B251" s="1"/>
      <c r="C251" s="1"/>
      <c r="D251" s="1"/>
      <c r="E251" s="1"/>
      <c r="F251" s="1"/>
      <c r="G251" s="1"/>
      <c r="H251" s="1"/>
      <c r="I251" s="2"/>
      <c r="J251" s="2"/>
      <c r="K251" s="2"/>
      <c r="L251" s="2"/>
      <c r="M251" s="2"/>
      <c r="N251" s="2"/>
      <c r="O251" s="2"/>
      <c r="P251" s="2"/>
      <c r="Q251" s="2"/>
      <c r="R251" s="2"/>
      <c r="S251" s="2"/>
      <c r="T251" s="2"/>
      <c r="U251" s="2"/>
      <c r="V251" s="2"/>
      <c r="W251" s="2"/>
      <c r="X251" s="2"/>
      <c r="Y251" s="2"/>
      <c r="Z251" s="2"/>
    </row>
    <row r="252" ht="15.75" customHeight="1">
      <c r="A252" s="1"/>
      <c r="B252" s="1"/>
      <c r="C252" s="1"/>
      <c r="D252" s="1"/>
      <c r="E252" s="1"/>
      <c r="F252" s="1"/>
      <c r="G252" s="1"/>
      <c r="H252" s="1"/>
      <c r="I252" s="2"/>
      <c r="J252" s="2"/>
      <c r="K252" s="2"/>
      <c r="L252" s="2"/>
      <c r="M252" s="2"/>
      <c r="N252" s="2"/>
      <c r="O252" s="2"/>
      <c r="P252" s="2"/>
      <c r="Q252" s="2"/>
      <c r="R252" s="2"/>
      <c r="S252" s="2"/>
      <c r="T252" s="2"/>
      <c r="U252" s="2"/>
      <c r="V252" s="2"/>
      <c r="W252" s="2"/>
      <c r="X252" s="2"/>
      <c r="Y252" s="2"/>
      <c r="Z252" s="2"/>
    </row>
    <row r="253" ht="15.75" customHeight="1">
      <c r="A253" s="1"/>
      <c r="B253" s="1"/>
      <c r="C253" s="1"/>
      <c r="D253" s="1"/>
      <c r="E253" s="1"/>
      <c r="F253" s="1"/>
      <c r="G253" s="1"/>
      <c r="H253" s="1"/>
      <c r="I253" s="2"/>
      <c r="J253" s="2"/>
      <c r="K253" s="2"/>
      <c r="L253" s="2"/>
      <c r="M253" s="2"/>
      <c r="N253" s="2"/>
      <c r="O253" s="2"/>
      <c r="P253" s="2"/>
      <c r="Q253" s="2"/>
      <c r="R253" s="2"/>
      <c r="S253" s="2"/>
      <c r="T253" s="2"/>
      <c r="U253" s="2"/>
      <c r="V253" s="2"/>
      <c r="W253" s="2"/>
      <c r="X253" s="2"/>
      <c r="Y253" s="2"/>
      <c r="Z253" s="2"/>
    </row>
    <row r="254" ht="15.75" customHeight="1">
      <c r="A254" s="1"/>
      <c r="B254" s="1"/>
      <c r="C254" s="1"/>
      <c r="D254" s="1"/>
      <c r="E254" s="1"/>
      <c r="F254" s="1"/>
      <c r="G254" s="1"/>
      <c r="H254" s="1"/>
      <c r="I254" s="2"/>
      <c r="J254" s="2"/>
      <c r="K254" s="2"/>
      <c r="L254" s="2"/>
      <c r="M254" s="2"/>
      <c r="N254" s="2"/>
      <c r="O254" s="2"/>
      <c r="P254" s="2"/>
      <c r="Q254" s="2"/>
      <c r="R254" s="2"/>
      <c r="S254" s="2"/>
      <c r="T254" s="2"/>
      <c r="U254" s="2"/>
      <c r="V254" s="2"/>
      <c r="W254" s="2"/>
      <c r="X254" s="2"/>
      <c r="Y254" s="2"/>
      <c r="Z254" s="2"/>
    </row>
    <row r="255" ht="15.75" customHeight="1">
      <c r="A255" s="1"/>
      <c r="B255" s="1"/>
      <c r="C255" s="1"/>
      <c r="D255" s="1"/>
      <c r="E255" s="1"/>
      <c r="F255" s="1"/>
      <c r="G255" s="1"/>
      <c r="H255" s="1"/>
      <c r="I255" s="2"/>
      <c r="J255" s="2"/>
      <c r="K255" s="2"/>
      <c r="L255" s="2"/>
      <c r="M255" s="2"/>
      <c r="N255" s="2"/>
      <c r="O255" s="2"/>
      <c r="P255" s="2"/>
      <c r="Q255" s="2"/>
      <c r="R255" s="2"/>
      <c r="S255" s="2"/>
      <c r="T255" s="2"/>
      <c r="U255" s="2"/>
      <c r="V255" s="2"/>
      <c r="W255" s="2"/>
      <c r="X255" s="2"/>
      <c r="Y255" s="2"/>
      <c r="Z255" s="2"/>
    </row>
    <row r="256" ht="15.75" customHeight="1">
      <c r="A256" s="1"/>
      <c r="B256" s="1"/>
      <c r="C256" s="1"/>
      <c r="D256" s="1"/>
      <c r="E256" s="1"/>
      <c r="F256" s="1"/>
      <c r="G256" s="1"/>
      <c r="H256" s="1"/>
      <c r="I256" s="2"/>
      <c r="J256" s="2"/>
      <c r="K256" s="2"/>
      <c r="L256" s="2"/>
      <c r="M256" s="2"/>
      <c r="N256" s="2"/>
      <c r="O256" s="2"/>
      <c r="P256" s="2"/>
      <c r="Q256" s="2"/>
      <c r="R256" s="2"/>
      <c r="S256" s="2"/>
      <c r="T256" s="2"/>
      <c r="U256" s="2"/>
      <c r="V256" s="2"/>
      <c r="W256" s="2"/>
      <c r="X256" s="2"/>
      <c r="Y256" s="2"/>
      <c r="Z256" s="2"/>
    </row>
    <row r="257" ht="15.75" customHeight="1">
      <c r="A257" s="1"/>
      <c r="B257" s="1"/>
      <c r="C257" s="1"/>
      <c r="D257" s="1"/>
      <c r="E257" s="1"/>
      <c r="F257" s="1"/>
      <c r="G257" s="1"/>
      <c r="H257" s="1"/>
      <c r="I257" s="2"/>
      <c r="J257" s="2"/>
      <c r="K257" s="2"/>
      <c r="L257" s="2"/>
      <c r="M257" s="2"/>
      <c r="N257" s="2"/>
      <c r="O257" s="2"/>
      <c r="P257" s="2"/>
      <c r="Q257" s="2"/>
      <c r="R257" s="2"/>
      <c r="S257" s="2"/>
      <c r="T257" s="2"/>
      <c r="U257" s="2"/>
      <c r="V257" s="2"/>
      <c r="W257" s="2"/>
      <c r="X257" s="2"/>
      <c r="Y257" s="2"/>
      <c r="Z257" s="2"/>
    </row>
    <row r="258" ht="15.75" customHeight="1">
      <c r="A258" s="1"/>
      <c r="B258" s="1"/>
      <c r="C258" s="1"/>
      <c r="D258" s="1"/>
      <c r="E258" s="1"/>
      <c r="F258" s="1"/>
      <c r="G258" s="1"/>
      <c r="H258" s="1"/>
      <c r="I258" s="2"/>
      <c r="J258" s="2"/>
      <c r="K258" s="2"/>
      <c r="L258" s="2"/>
      <c r="M258" s="2"/>
      <c r="N258" s="2"/>
      <c r="O258" s="2"/>
      <c r="P258" s="2"/>
      <c r="Q258" s="2"/>
      <c r="R258" s="2"/>
      <c r="S258" s="2"/>
      <c r="T258" s="2"/>
      <c r="U258" s="2"/>
      <c r="V258" s="2"/>
      <c r="W258" s="2"/>
      <c r="X258" s="2"/>
      <c r="Y258" s="2"/>
      <c r="Z258" s="2"/>
    </row>
    <row r="259" ht="15.75" customHeight="1">
      <c r="A259" s="1"/>
      <c r="B259" s="1"/>
      <c r="C259" s="1"/>
      <c r="D259" s="1"/>
      <c r="E259" s="1"/>
      <c r="F259" s="1"/>
      <c r="G259" s="1"/>
      <c r="H259" s="1"/>
      <c r="I259" s="2"/>
      <c r="J259" s="2"/>
      <c r="K259" s="2"/>
      <c r="L259" s="2"/>
      <c r="M259" s="2"/>
      <c r="N259" s="2"/>
      <c r="O259" s="2"/>
      <c r="P259" s="2"/>
      <c r="Q259" s="2"/>
      <c r="R259" s="2"/>
      <c r="S259" s="2"/>
      <c r="T259" s="2"/>
      <c r="U259" s="2"/>
      <c r="V259" s="2"/>
      <c r="W259" s="2"/>
      <c r="X259" s="2"/>
      <c r="Y259" s="2"/>
      <c r="Z259" s="2"/>
    </row>
    <row r="260" ht="15.75" customHeight="1">
      <c r="A260" s="1"/>
      <c r="B260" s="1"/>
      <c r="C260" s="1"/>
      <c r="D260" s="1"/>
      <c r="E260" s="1"/>
      <c r="F260" s="1"/>
      <c r="G260" s="1"/>
      <c r="H260" s="1"/>
      <c r="I260" s="2"/>
      <c r="J260" s="2"/>
      <c r="K260" s="2"/>
      <c r="L260" s="2"/>
      <c r="M260" s="2"/>
      <c r="N260" s="2"/>
      <c r="O260" s="2"/>
      <c r="P260" s="2"/>
      <c r="Q260" s="2"/>
      <c r="R260" s="2"/>
      <c r="S260" s="2"/>
      <c r="T260" s="2"/>
      <c r="U260" s="2"/>
      <c r="V260" s="2"/>
      <c r="W260" s="2"/>
      <c r="X260" s="2"/>
      <c r="Y260" s="2"/>
      <c r="Z260" s="2"/>
    </row>
    <row r="261" ht="15.75" customHeight="1">
      <c r="A261" s="1"/>
      <c r="B261" s="1"/>
      <c r="C261" s="1"/>
      <c r="D261" s="1"/>
      <c r="E261" s="1"/>
      <c r="F261" s="1"/>
      <c r="G261" s="1"/>
      <c r="H261" s="1"/>
      <c r="I261" s="2"/>
      <c r="J261" s="2"/>
      <c r="K261" s="2"/>
      <c r="L261" s="2"/>
      <c r="M261" s="2"/>
      <c r="N261" s="2"/>
      <c r="O261" s="2"/>
      <c r="P261" s="2"/>
      <c r="Q261" s="2"/>
      <c r="R261" s="2"/>
      <c r="S261" s="2"/>
      <c r="T261" s="2"/>
      <c r="U261" s="2"/>
      <c r="V261" s="2"/>
      <c r="W261" s="2"/>
      <c r="X261" s="2"/>
      <c r="Y261" s="2"/>
      <c r="Z261" s="2"/>
    </row>
    <row r="262" ht="15.75" customHeight="1">
      <c r="A262" s="1"/>
      <c r="B262" s="1"/>
      <c r="C262" s="1"/>
      <c r="D262" s="1"/>
      <c r="E262" s="1"/>
      <c r="F262" s="1"/>
      <c r="G262" s="1"/>
      <c r="H262" s="1"/>
      <c r="I262" s="2"/>
      <c r="J262" s="2"/>
      <c r="K262" s="2"/>
      <c r="L262" s="2"/>
      <c r="M262" s="2"/>
      <c r="N262" s="2"/>
      <c r="O262" s="2"/>
      <c r="P262" s="2"/>
      <c r="Q262" s="2"/>
      <c r="R262" s="2"/>
      <c r="S262" s="2"/>
      <c r="T262" s="2"/>
      <c r="U262" s="2"/>
      <c r="V262" s="2"/>
      <c r="W262" s="2"/>
      <c r="X262" s="2"/>
      <c r="Y262" s="2"/>
      <c r="Z262" s="2"/>
    </row>
    <row r="263" ht="15.75" customHeight="1">
      <c r="A263" s="1"/>
      <c r="B263" s="1"/>
      <c r="C263" s="1"/>
      <c r="D263" s="1"/>
      <c r="E263" s="1"/>
      <c r="F263" s="1"/>
      <c r="G263" s="1"/>
      <c r="H263" s="1"/>
      <c r="I263" s="2"/>
      <c r="J263" s="2"/>
      <c r="K263" s="2"/>
      <c r="L263" s="2"/>
      <c r="M263" s="2"/>
      <c r="N263" s="2"/>
      <c r="O263" s="2"/>
      <c r="P263" s="2"/>
      <c r="Q263" s="2"/>
      <c r="R263" s="2"/>
      <c r="S263" s="2"/>
      <c r="T263" s="2"/>
      <c r="U263" s="2"/>
      <c r="V263" s="2"/>
      <c r="W263" s="2"/>
      <c r="X263" s="2"/>
      <c r="Y263" s="2"/>
      <c r="Z263" s="2"/>
    </row>
    <row r="264" ht="15.75" customHeight="1">
      <c r="A264" s="1"/>
      <c r="B264" s="1"/>
      <c r="C264" s="1"/>
      <c r="D264" s="1"/>
      <c r="E264" s="1"/>
      <c r="F264" s="1"/>
      <c r="G264" s="1"/>
      <c r="H264" s="1"/>
      <c r="I264" s="2"/>
      <c r="J264" s="2"/>
      <c r="K264" s="2"/>
      <c r="L264" s="2"/>
      <c r="M264" s="2"/>
      <c r="N264" s="2"/>
      <c r="O264" s="2"/>
      <c r="P264" s="2"/>
      <c r="Q264" s="2"/>
      <c r="R264" s="2"/>
      <c r="S264" s="2"/>
      <c r="T264" s="2"/>
      <c r="U264" s="2"/>
      <c r="V264" s="2"/>
      <c r="W264" s="2"/>
      <c r="X264" s="2"/>
      <c r="Y264" s="2"/>
      <c r="Z264" s="2"/>
    </row>
    <row r="265" ht="15.75" customHeight="1">
      <c r="A265" s="1"/>
      <c r="B265" s="1"/>
      <c r="C265" s="1"/>
      <c r="D265" s="1"/>
      <c r="E265" s="1"/>
      <c r="F265" s="1"/>
      <c r="G265" s="1"/>
      <c r="H265" s="1"/>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1">
    <mergeCell ref="A43:H43"/>
    <mergeCell ref="A52:H52"/>
    <mergeCell ref="A59:H59"/>
    <mergeCell ref="A60:H60"/>
    <mergeCell ref="A1:H1"/>
    <mergeCell ref="A2:H2"/>
    <mergeCell ref="A7:H7"/>
    <mergeCell ref="A16:H16"/>
    <mergeCell ref="A25:H25"/>
    <mergeCell ref="A34:H34"/>
    <mergeCell ref="I37:N37"/>
  </mergeCells>
  <conditionalFormatting sqref="H56">
    <cfRule type="cellIs" dxfId="0" priority="1" operator="greaterThanOrEqual">
      <formula>0</formula>
    </cfRule>
  </conditionalFormatting>
  <conditionalFormatting sqref="H56">
    <cfRule type="cellIs" dxfId="1" priority="2" operator="lessThan">
      <formula>0</formula>
    </cfRule>
  </conditionalFormatting>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C6B8A"/>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42.0"/>
    <col customWidth="1" min="2" max="3" width="18.0"/>
    <col customWidth="1" min="4" max="4" width="50.0"/>
    <col customWidth="1" min="5" max="6" width="8.71"/>
  </cols>
  <sheetData>
    <row r="1" ht="21.75" customHeight="1">
      <c r="A1" s="9" t="s">
        <v>98</v>
      </c>
      <c r="B1" s="4"/>
      <c r="C1" s="4"/>
      <c r="D1" s="5"/>
      <c r="E1" s="2"/>
      <c r="F1" s="2"/>
      <c r="G1" s="2"/>
      <c r="H1" s="2"/>
      <c r="I1" s="2"/>
      <c r="J1" s="2"/>
      <c r="K1" s="2"/>
      <c r="L1" s="2"/>
      <c r="M1" s="2"/>
      <c r="N1" s="2"/>
      <c r="O1" s="2"/>
      <c r="P1" s="2"/>
      <c r="Q1" s="2"/>
      <c r="R1" s="2"/>
      <c r="S1" s="2"/>
      <c r="T1" s="2"/>
      <c r="U1" s="2"/>
      <c r="V1" s="2"/>
      <c r="W1" s="2"/>
      <c r="X1" s="2"/>
      <c r="Y1" s="2"/>
      <c r="Z1" s="2"/>
    </row>
    <row r="2" ht="15.0" customHeight="1">
      <c r="A2" s="10" t="s">
        <v>99</v>
      </c>
      <c r="E2" s="2"/>
      <c r="F2" s="2"/>
      <c r="G2" s="2"/>
      <c r="H2" s="2"/>
      <c r="I2" s="2"/>
      <c r="J2" s="2"/>
      <c r="K2" s="2"/>
      <c r="L2" s="2"/>
      <c r="M2" s="2"/>
      <c r="N2" s="2"/>
      <c r="O2" s="2"/>
      <c r="P2" s="2"/>
      <c r="Q2" s="2"/>
      <c r="R2" s="2"/>
      <c r="S2" s="2"/>
      <c r="T2" s="2"/>
      <c r="U2" s="2"/>
      <c r="V2" s="2"/>
      <c r="W2" s="2"/>
      <c r="X2" s="2"/>
      <c r="Y2" s="2"/>
      <c r="Z2" s="2"/>
    </row>
    <row r="3">
      <c r="A3" s="1"/>
      <c r="B3" s="1"/>
      <c r="C3" s="1"/>
      <c r="D3" s="1"/>
      <c r="E3" s="2"/>
      <c r="F3" s="2"/>
      <c r="G3" s="2"/>
      <c r="H3" s="2"/>
      <c r="I3" s="2"/>
      <c r="J3" s="2"/>
      <c r="K3" s="2"/>
      <c r="L3" s="2"/>
      <c r="M3" s="2"/>
      <c r="N3" s="2"/>
      <c r="O3" s="2"/>
      <c r="P3" s="2"/>
      <c r="Q3" s="2"/>
      <c r="R3" s="2"/>
      <c r="S3" s="2"/>
      <c r="T3" s="2"/>
      <c r="U3" s="2"/>
      <c r="V3" s="2"/>
      <c r="W3" s="2"/>
      <c r="X3" s="2"/>
      <c r="Y3" s="2"/>
      <c r="Z3" s="2"/>
    </row>
    <row r="4" ht="15.0" customHeight="1">
      <c r="A4" s="11" t="s">
        <v>100</v>
      </c>
      <c r="B4" s="4"/>
      <c r="C4" s="4"/>
      <c r="D4" s="5"/>
      <c r="E4" s="2"/>
      <c r="F4" s="2"/>
      <c r="G4" s="2"/>
      <c r="H4" s="2"/>
      <c r="I4" s="2"/>
      <c r="J4" s="2"/>
      <c r="K4" s="2"/>
      <c r="L4" s="2"/>
      <c r="M4" s="2"/>
      <c r="N4" s="2"/>
      <c r="O4" s="2"/>
      <c r="P4" s="2"/>
      <c r="Q4" s="2"/>
      <c r="R4" s="2"/>
      <c r="S4" s="2"/>
      <c r="T4" s="2"/>
      <c r="U4" s="2"/>
      <c r="V4" s="2"/>
      <c r="W4" s="2"/>
      <c r="X4" s="2"/>
      <c r="Y4" s="2"/>
      <c r="Z4" s="2"/>
    </row>
    <row r="5" ht="15.0" customHeight="1">
      <c r="A5" s="12" t="s">
        <v>80</v>
      </c>
      <c r="B5" s="15">
        <f>Assumptions!B12</f>
        <v>3950800</v>
      </c>
      <c r="C5" s="1"/>
      <c r="D5" s="1"/>
      <c r="E5" s="2"/>
      <c r="F5" s="2"/>
      <c r="G5" s="2"/>
      <c r="H5" s="2"/>
      <c r="I5" s="2"/>
      <c r="J5" s="2"/>
      <c r="K5" s="2"/>
      <c r="L5" s="2"/>
      <c r="M5" s="2"/>
      <c r="N5" s="2"/>
      <c r="O5" s="2"/>
      <c r="P5" s="2"/>
      <c r="Q5" s="2"/>
      <c r="R5" s="2"/>
      <c r="S5" s="2"/>
      <c r="T5" s="2"/>
      <c r="U5" s="2"/>
      <c r="V5" s="2"/>
      <c r="W5" s="2"/>
      <c r="X5" s="2"/>
      <c r="Y5" s="2"/>
      <c r="Z5" s="2"/>
    </row>
    <row r="6" ht="15.0" customHeight="1">
      <c r="A6" s="12" t="s">
        <v>81</v>
      </c>
      <c r="B6" s="16">
        <f>Assumptions!B13</f>
        <v>171000</v>
      </c>
      <c r="C6" s="1"/>
      <c r="D6" s="1"/>
      <c r="E6" s="2"/>
      <c r="F6" s="2"/>
      <c r="G6" s="2"/>
      <c r="H6" s="2"/>
      <c r="I6" s="2"/>
      <c r="J6" s="2"/>
      <c r="K6" s="2"/>
      <c r="L6" s="2"/>
      <c r="M6" s="2"/>
      <c r="N6" s="2"/>
      <c r="O6" s="2"/>
      <c r="P6" s="2"/>
      <c r="Q6" s="2"/>
      <c r="R6" s="2"/>
      <c r="S6" s="2"/>
      <c r="T6" s="2"/>
      <c r="U6" s="2"/>
      <c r="V6" s="2"/>
      <c r="W6" s="2"/>
      <c r="X6" s="2"/>
      <c r="Y6" s="2"/>
      <c r="Z6" s="2"/>
    </row>
    <row r="7" ht="15.0" customHeight="1">
      <c r="A7" s="12" t="s">
        <v>101</v>
      </c>
      <c r="B7" s="32">
        <f>SUM('Monthly Data'!H2:H5)+SUM('Monthly Data'!H12:H17)+SUM('Monthly Data'!H24:H29)+SUM('Monthly Data'!H36:H41)</f>
        <v>6573636</v>
      </c>
      <c r="C7" s="1"/>
      <c r="D7" s="1"/>
      <c r="E7" s="2"/>
      <c r="F7" s="2"/>
      <c r="G7" s="2"/>
      <c r="H7" s="2"/>
      <c r="I7" s="2"/>
      <c r="J7" s="2"/>
      <c r="K7" s="2"/>
      <c r="L7" s="2"/>
      <c r="M7" s="2"/>
      <c r="N7" s="2"/>
      <c r="O7" s="2"/>
      <c r="P7" s="2"/>
      <c r="Q7" s="2"/>
      <c r="R7" s="2"/>
      <c r="S7" s="2"/>
      <c r="T7" s="2"/>
      <c r="U7" s="2"/>
      <c r="V7" s="2"/>
      <c r="W7" s="2"/>
      <c r="X7" s="2"/>
      <c r="Y7" s="2"/>
      <c r="Z7" s="2"/>
    </row>
    <row r="8" ht="15.0" customHeight="1">
      <c r="A8" s="12" t="s">
        <v>102</v>
      </c>
      <c r="B8" s="42">
        <f>B6/B7</f>
        <v>0.02601300102</v>
      </c>
      <c r="C8" s="1"/>
      <c r="D8" s="1"/>
      <c r="E8" s="2"/>
      <c r="F8" s="2"/>
      <c r="G8" s="2"/>
      <c r="H8" s="2"/>
      <c r="I8" s="2"/>
      <c r="J8" s="2"/>
      <c r="K8" s="2"/>
      <c r="L8" s="2"/>
      <c r="M8" s="2"/>
      <c r="N8" s="2"/>
      <c r="O8" s="2"/>
      <c r="P8" s="2"/>
      <c r="Q8" s="2"/>
      <c r="R8" s="2"/>
      <c r="S8" s="2"/>
      <c r="T8" s="2"/>
      <c r="U8" s="2"/>
      <c r="V8" s="2"/>
      <c r="W8" s="2"/>
      <c r="X8" s="2"/>
      <c r="Y8" s="2"/>
      <c r="Z8" s="2"/>
    </row>
    <row r="9" ht="15.0" customHeight="1">
      <c r="A9" s="12" t="s">
        <v>82</v>
      </c>
      <c r="B9" s="15">
        <f>Assumptions!B14</f>
        <v>11115000</v>
      </c>
      <c r="C9" s="1"/>
      <c r="D9" s="1"/>
      <c r="E9" s="2"/>
      <c r="F9" s="2"/>
      <c r="G9" s="2"/>
      <c r="H9" s="2"/>
      <c r="I9" s="2"/>
      <c r="J9" s="2"/>
      <c r="K9" s="2"/>
      <c r="L9" s="2"/>
      <c r="M9" s="2"/>
      <c r="N9" s="2"/>
      <c r="O9" s="2"/>
      <c r="P9" s="2"/>
      <c r="Q9" s="2"/>
      <c r="R9" s="2"/>
      <c r="S9" s="2"/>
      <c r="T9" s="2"/>
      <c r="U9" s="2"/>
      <c r="V9" s="2"/>
      <c r="W9" s="2"/>
      <c r="X9" s="2"/>
      <c r="Y9" s="2"/>
      <c r="Z9" s="2"/>
    </row>
    <row r="10">
      <c r="A10" s="1"/>
      <c r="B10" s="1"/>
      <c r="C10" s="1"/>
      <c r="D10" s="1"/>
      <c r="E10" s="2"/>
      <c r="F10" s="2"/>
      <c r="G10" s="2"/>
      <c r="H10" s="2"/>
      <c r="I10" s="2"/>
      <c r="J10" s="2"/>
      <c r="K10" s="2"/>
      <c r="L10" s="2"/>
      <c r="M10" s="2"/>
      <c r="N10" s="2"/>
      <c r="O10" s="2"/>
      <c r="P10" s="2"/>
      <c r="Q10" s="2"/>
      <c r="R10" s="2"/>
      <c r="S10" s="2"/>
      <c r="T10" s="2"/>
      <c r="U10" s="2"/>
      <c r="V10" s="2"/>
      <c r="W10" s="2"/>
      <c r="X10" s="2"/>
      <c r="Y10" s="2"/>
      <c r="Z10" s="2"/>
    </row>
    <row r="11" ht="15.0" customHeight="1">
      <c r="A11" s="11" t="s">
        <v>103</v>
      </c>
      <c r="B11" s="4"/>
      <c r="C11" s="4"/>
      <c r="D11" s="5"/>
      <c r="E11" s="2"/>
      <c r="F11" s="2"/>
      <c r="G11" s="2"/>
      <c r="H11" s="2"/>
      <c r="I11" s="2"/>
      <c r="J11" s="2"/>
      <c r="K11" s="2"/>
      <c r="L11" s="2"/>
      <c r="M11" s="2"/>
      <c r="N11" s="2"/>
      <c r="O11" s="2"/>
      <c r="P11" s="2"/>
      <c r="Q11" s="2"/>
      <c r="R11" s="2"/>
      <c r="S11" s="2"/>
      <c r="T11" s="2"/>
      <c r="U11" s="2"/>
      <c r="V11" s="2"/>
      <c r="W11" s="2"/>
      <c r="X11" s="2"/>
      <c r="Y11" s="2"/>
      <c r="Z11" s="2"/>
    </row>
    <row r="12" ht="15.0" customHeight="1">
      <c r="A12" s="12" t="s">
        <v>104</v>
      </c>
      <c r="B12" s="43">
        <f>Assumptions!B38</f>
        <v>0.1</v>
      </c>
      <c r="C12" s="1"/>
      <c r="D12" s="1"/>
      <c r="E12" s="2"/>
      <c r="F12" s="2"/>
      <c r="G12" s="2"/>
      <c r="H12" s="2"/>
      <c r="I12" s="2"/>
      <c r="J12" s="2"/>
      <c r="K12" s="2"/>
      <c r="L12" s="2"/>
      <c r="M12" s="2"/>
      <c r="N12" s="2"/>
      <c r="O12" s="2"/>
      <c r="P12" s="2"/>
      <c r="Q12" s="2"/>
      <c r="R12" s="2"/>
      <c r="S12" s="2"/>
      <c r="T12" s="2"/>
      <c r="U12" s="2"/>
      <c r="V12" s="2"/>
      <c r="W12" s="2"/>
      <c r="X12" s="2"/>
      <c r="Y12" s="2"/>
      <c r="Z12" s="2"/>
    </row>
    <row r="13" ht="15.0" customHeight="1">
      <c r="A13" s="12" t="s">
        <v>105</v>
      </c>
      <c r="B13" s="17">
        <f>B5*B12</f>
        <v>395080</v>
      </c>
      <c r="C13" s="1"/>
      <c r="D13" s="1"/>
      <c r="E13" s="2"/>
      <c r="F13" s="2"/>
      <c r="G13" s="2"/>
      <c r="H13" s="2"/>
      <c r="I13" s="2"/>
      <c r="J13" s="2"/>
      <c r="K13" s="2"/>
      <c r="L13" s="2"/>
      <c r="M13" s="2"/>
      <c r="N13" s="2"/>
      <c r="O13" s="2"/>
      <c r="P13" s="2"/>
      <c r="Q13" s="2"/>
      <c r="R13" s="2"/>
      <c r="S13" s="2"/>
      <c r="T13" s="2"/>
      <c r="U13" s="2"/>
      <c r="V13" s="2"/>
      <c r="W13" s="2"/>
      <c r="X13" s="2"/>
      <c r="Y13" s="2"/>
      <c r="Z13" s="2"/>
    </row>
    <row r="14" ht="15.0" customHeight="1">
      <c r="A14" s="12" t="s">
        <v>106</v>
      </c>
      <c r="B14" s="32">
        <f>B6*(1+B12)</f>
        <v>188100</v>
      </c>
      <c r="C14" s="1"/>
      <c r="D14" s="1"/>
      <c r="E14" s="2"/>
      <c r="F14" s="2"/>
      <c r="G14" s="2"/>
      <c r="H14" s="2"/>
      <c r="I14" s="2"/>
      <c r="J14" s="2"/>
      <c r="K14" s="2"/>
      <c r="L14" s="2"/>
      <c r="M14" s="2"/>
      <c r="N14" s="2"/>
      <c r="O14" s="2"/>
      <c r="P14" s="2"/>
      <c r="Q14" s="2"/>
      <c r="R14" s="2"/>
      <c r="S14" s="2"/>
      <c r="T14" s="2"/>
      <c r="U14" s="2"/>
      <c r="V14" s="2"/>
      <c r="W14" s="2"/>
      <c r="X14" s="2"/>
      <c r="Y14" s="2"/>
      <c r="Z14" s="2"/>
    </row>
    <row r="15" ht="15.0" customHeight="1">
      <c r="A15" s="12" t="s">
        <v>107</v>
      </c>
      <c r="B15" s="17">
        <f>B14*Assumptions!B5</f>
        <v>12226500</v>
      </c>
      <c r="C15" s="1"/>
      <c r="D15" s="1"/>
      <c r="E15" s="2"/>
      <c r="F15" s="2"/>
      <c r="G15" s="2"/>
      <c r="H15" s="2"/>
      <c r="I15" s="2"/>
      <c r="J15" s="2"/>
      <c r="K15" s="2"/>
      <c r="L15" s="2"/>
      <c r="M15" s="2"/>
      <c r="N15" s="2"/>
      <c r="O15" s="2"/>
      <c r="P15" s="2"/>
      <c r="Q15" s="2"/>
      <c r="R15" s="2"/>
      <c r="S15" s="2"/>
      <c r="T15" s="2"/>
      <c r="U15" s="2"/>
      <c r="V15" s="2"/>
      <c r="W15" s="2"/>
      <c r="X15" s="2"/>
      <c r="Y15" s="2"/>
      <c r="Z15" s="2"/>
    </row>
    <row r="16" ht="15.0" customHeight="1">
      <c r="A16" s="19" t="s">
        <v>108</v>
      </c>
      <c r="B16" s="44">
        <f>B15-B9</f>
        <v>1111500</v>
      </c>
      <c r="C16" s="1"/>
      <c r="D16" s="1"/>
      <c r="E16" s="2"/>
      <c r="F16" s="2"/>
      <c r="G16" s="2"/>
      <c r="H16" s="2"/>
      <c r="I16" s="2"/>
      <c r="J16" s="2"/>
      <c r="K16" s="2"/>
      <c r="L16" s="2"/>
      <c r="M16" s="2"/>
      <c r="N16" s="2"/>
      <c r="O16" s="2"/>
      <c r="P16" s="2"/>
      <c r="Q16" s="2"/>
      <c r="R16" s="2"/>
      <c r="S16" s="2"/>
      <c r="T16" s="2"/>
      <c r="U16" s="2"/>
      <c r="V16" s="2"/>
      <c r="W16" s="2"/>
      <c r="X16" s="2"/>
      <c r="Y16" s="2"/>
      <c r="Z16" s="2"/>
    </row>
    <row r="17" ht="15.0" customHeight="1">
      <c r="A17" s="12" t="s">
        <v>109</v>
      </c>
      <c r="B17" s="45">
        <f>B16/B13</f>
        <v>2.813354257</v>
      </c>
      <c r="C17" s="1"/>
      <c r="D17" s="1"/>
      <c r="E17" s="2"/>
      <c r="F17" s="2"/>
      <c r="G17" s="2"/>
      <c r="H17" s="2"/>
      <c r="I17" s="2"/>
      <c r="J17" s="2"/>
      <c r="K17" s="2"/>
      <c r="L17" s="2"/>
      <c r="M17" s="2"/>
      <c r="N17" s="2"/>
      <c r="O17" s="2"/>
      <c r="P17" s="2"/>
      <c r="Q17" s="2"/>
      <c r="R17" s="2"/>
      <c r="S17" s="2"/>
      <c r="T17" s="2"/>
      <c r="U17" s="2"/>
      <c r="V17" s="2"/>
      <c r="W17" s="2"/>
      <c r="X17" s="2"/>
      <c r="Y17" s="2"/>
      <c r="Z17" s="2"/>
    </row>
    <row r="18" ht="31.5" customHeight="1">
      <c r="A18" s="10" t="s">
        <v>110</v>
      </c>
      <c r="E18" s="2"/>
      <c r="F18" s="2"/>
      <c r="G18" s="2"/>
      <c r="H18" s="2"/>
      <c r="I18" s="2"/>
      <c r="J18" s="2"/>
      <c r="K18" s="2"/>
      <c r="L18" s="2"/>
      <c r="M18" s="2"/>
      <c r="N18" s="2"/>
      <c r="O18" s="2"/>
      <c r="P18" s="2"/>
      <c r="Q18" s="2"/>
      <c r="R18" s="2"/>
      <c r="S18" s="2"/>
      <c r="T18" s="2"/>
      <c r="U18" s="2"/>
      <c r="V18" s="2"/>
      <c r="W18" s="2"/>
      <c r="X18" s="2"/>
      <c r="Y18" s="2"/>
      <c r="Z18" s="2"/>
    </row>
    <row r="19">
      <c r="A19" s="1"/>
      <c r="B19" s="1"/>
      <c r="C19" s="1"/>
      <c r="D19" s="1"/>
      <c r="E19" s="2"/>
      <c r="F19" s="2"/>
      <c r="G19" s="2"/>
      <c r="H19" s="2"/>
      <c r="I19" s="2"/>
      <c r="J19" s="2"/>
      <c r="K19" s="2"/>
      <c r="L19" s="2"/>
      <c r="M19" s="2"/>
      <c r="N19" s="2"/>
      <c r="O19" s="2"/>
      <c r="P19" s="2"/>
      <c r="Q19" s="2"/>
      <c r="R19" s="2"/>
      <c r="S19" s="2"/>
      <c r="T19" s="2"/>
      <c r="U19" s="2"/>
      <c r="V19" s="2"/>
      <c r="W19" s="2"/>
      <c r="X19" s="2"/>
      <c r="Y19" s="2"/>
      <c r="Z19" s="2"/>
    </row>
    <row r="20" ht="15.0" customHeight="1">
      <c r="A20" s="11" t="s">
        <v>111</v>
      </c>
      <c r="B20" s="4"/>
      <c r="C20" s="4"/>
      <c r="D20" s="5"/>
      <c r="E20" s="2"/>
      <c r="F20" s="2"/>
      <c r="G20" s="2"/>
      <c r="H20" s="2"/>
      <c r="I20" s="2"/>
      <c r="J20" s="2"/>
      <c r="K20" s="2"/>
      <c r="L20" s="2"/>
      <c r="M20" s="2"/>
      <c r="N20" s="2"/>
      <c r="O20" s="2"/>
      <c r="P20" s="2"/>
      <c r="Q20" s="2"/>
      <c r="R20" s="2"/>
      <c r="S20" s="2"/>
      <c r="T20" s="2"/>
      <c r="U20" s="2"/>
      <c r="V20" s="2"/>
      <c r="W20" s="2"/>
      <c r="X20" s="2"/>
      <c r="Y20" s="2"/>
      <c r="Z20" s="2"/>
    </row>
    <row r="21" ht="15.0" customHeight="1">
      <c r="A21" s="12" t="s">
        <v>112</v>
      </c>
      <c r="B21" s="42">
        <f>B8</f>
        <v>0.02601300102</v>
      </c>
      <c r="C21" s="1"/>
      <c r="D21" s="1"/>
      <c r="E21" s="2"/>
      <c r="F21" s="2"/>
      <c r="G21" s="2"/>
      <c r="H21" s="2"/>
      <c r="I21" s="2"/>
      <c r="J21" s="2"/>
      <c r="K21" s="2"/>
      <c r="L21" s="2"/>
      <c r="M21" s="2"/>
      <c r="N21" s="2"/>
      <c r="O21" s="2"/>
      <c r="P21" s="2"/>
      <c r="Q21" s="2"/>
      <c r="R21" s="2"/>
      <c r="S21" s="2"/>
      <c r="T21" s="2"/>
      <c r="U21" s="2"/>
      <c r="V21" s="2"/>
      <c r="W21" s="2"/>
      <c r="X21" s="2"/>
      <c r="Y21" s="2"/>
      <c r="Z21" s="2"/>
    </row>
    <row r="22" ht="15.0" customHeight="1">
      <c r="A22" s="12" t="s">
        <v>113</v>
      </c>
      <c r="B22" s="14">
        <f>Assumptions!B39</f>
        <v>0.05</v>
      </c>
      <c r="C22" s="1"/>
      <c r="D22" s="1"/>
      <c r="E22" s="2"/>
      <c r="F22" s="2"/>
      <c r="G22" s="2"/>
      <c r="H22" s="2"/>
      <c r="I22" s="2"/>
      <c r="J22" s="2"/>
      <c r="K22" s="2"/>
      <c r="L22" s="2"/>
      <c r="M22" s="2"/>
      <c r="N22" s="2"/>
      <c r="O22" s="2"/>
      <c r="P22" s="2"/>
      <c r="Q22" s="2"/>
      <c r="R22" s="2"/>
      <c r="S22" s="2"/>
      <c r="T22" s="2"/>
      <c r="U22" s="2"/>
      <c r="V22" s="2"/>
      <c r="W22" s="2"/>
      <c r="X22" s="2"/>
      <c r="Y22" s="2"/>
      <c r="Z22" s="2"/>
    </row>
    <row r="23" ht="15.0" customHeight="1">
      <c r="A23" s="12" t="s">
        <v>114</v>
      </c>
      <c r="B23" s="42">
        <f>B8+B22</f>
        <v>0.07601300102</v>
      </c>
      <c r="C23" s="1"/>
      <c r="D23" s="1"/>
      <c r="E23" s="2"/>
      <c r="F23" s="2"/>
      <c r="G23" s="2"/>
      <c r="H23" s="2"/>
      <c r="I23" s="2"/>
      <c r="J23" s="2"/>
      <c r="K23" s="2"/>
      <c r="L23" s="2"/>
      <c r="M23" s="2"/>
      <c r="N23" s="2"/>
      <c r="O23" s="2"/>
      <c r="P23" s="2"/>
      <c r="Q23" s="2"/>
      <c r="R23" s="2"/>
      <c r="S23" s="2"/>
      <c r="T23" s="2"/>
      <c r="U23" s="2"/>
      <c r="V23" s="2"/>
      <c r="W23" s="2"/>
      <c r="X23" s="2"/>
      <c r="Y23" s="2"/>
      <c r="Z23" s="2"/>
    </row>
    <row r="24" ht="15.0" customHeight="1">
      <c r="A24" s="19" t="s">
        <v>115</v>
      </c>
      <c r="B24" s="46">
        <f>B23/B8-1</f>
        <v>1.922115789</v>
      </c>
      <c r="C24" s="1"/>
      <c r="D24" s="1"/>
      <c r="E24" s="2"/>
      <c r="F24" s="2"/>
      <c r="G24" s="2"/>
      <c r="H24" s="2"/>
      <c r="I24" s="2"/>
      <c r="J24" s="2"/>
      <c r="K24" s="2"/>
      <c r="L24" s="2"/>
      <c r="M24" s="2"/>
      <c r="N24" s="2"/>
      <c r="O24" s="2"/>
      <c r="P24" s="2"/>
      <c r="Q24" s="2"/>
      <c r="R24" s="2"/>
      <c r="S24" s="2"/>
      <c r="T24" s="2"/>
      <c r="U24" s="2"/>
      <c r="V24" s="2"/>
      <c r="W24" s="2"/>
      <c r="X24" s="2"/>
      <c r="Y24" s="2"/>
      <c r="Z24" s="2"/>
    </row>
    <row r="25" ht="15.0" customHeight="1">
      <c r="A25" s="12" t="s">
        <v>116</v>
      </c>
      <c r="B25" s="32">
        <f>B7*B23</f>
        <v>499681.8</v>
      </c>
      <c r="C25" s="1"/>
      <c r="D25" s="1"/>
      <c r="E25" s="2"/>
      <c r="F25" s="2"/>
      <c r="G25" s="2"/>
      <c r="H25" s="2"/>
      <c r="I25" s="2"/>
      <c r="J25" s="2"/>
      <c r="K25" s="2"/>
      <c r="L25" s="2"/>
      <c r="M25" s="2"/>
      <c r="N25" s="2"/>
      <c r="O25" s="2"/>
      <c r="P25" s="2"/>
      <c r="Q25" s="2"/>
      <c r="R25" s="2"/>
      <c r="S25" s="2"/>
      <c r="T25" s="2"/>
      <c r="U25" s="2"/>
      <c r="V25" s="2"/>
      <c r="W25" s="2"/>
      <c r="X25" s="2"/>
      <c r="Y25" s="2"/>
      <c r="Z25" s="2"/>
    </row>
    <row r="26" ht="15.0" customHeight="1">
      <c r="A26" s="12" t="s">
        <v>107</v>
      </c>
      <c r="B26" s="17">
        <f>B25*Assumptions!B5</f>
        <v>32479317</v>
      </c>
      <c r="C26" s="1"/>
      <c r="D26" s="1"/>
      <c r="E26" s="2"/>
      <c r="F26" s="2"/>
      <c r="G26" s="2"/>
      <c r="H26" s="2"/>
      <c r="I26" s="2"/>
      <c r="J26" s="2"/>
      <c r="K26" s="2"/>
      <c r="L26" s="2"/>
      <c r="M26" s="2"/>
      <c r="N26" s="2"/>
      <c r="O26" s="2"/>
      <c r="P26" s="2"/>
      <c r="Q26" s="2"/>
      <c r="R26" s="2"/>
      <c r="S26" s="2"/>
      <c r="T26" s="2"/>
      <c r="U26" s="2"/>
      <c r="V26" s="2"/>
      <c r="W26" s="2"/>
      <c r="X26" s="2"/>
      <c r="Y26" s="2"/>
      <c r="Z26" s="2"/>
    </row>
    <row r="27" ht="15.0" customHeight="1">
      <c r="A27" s="19" t="s">
        <v>108</v>
      </c>
      <c r="B27" s="44">
        <f>B26-B9</f>
        <v>21364317</v>
      </c>
      <c r="C27" s="1"/>
      <c r="D27" s="1"/>
      <c r="E27" s="2"/>
      <c r="F27" s="2"/>
      <c r="G27" s="2"/>
      <c r="H27" s="2"/>
      <c r="I27" s="2"/>
      <c r="J27" s="2"/>
      <c r="K27" s="2"/>
      <c r="L27" s="2"/>
      <c r="M27" s="2"/>
      <c r="N27" s="2"/>
      <c r="O27" s="2"/>
      <c r="P27" s="2"/>
      <c r="Q27" s="2"/>
      <c r="R27" s="2"/>
      <c r="S27" s="2"/>
      <c r="T27" s="2"/>
      <c r="U27" s="2"/>
      <c r="V27" s="2"/>
      <c r="W27" s="2"/>
      <c r="X27" s="2"/>
      <c r="Y27" s="2"/>
      <c r="Z27" s="2"/>
    </row>
    <row r="28" ht="31.5" customHeight="1">
      <c r="A28" s="10" t="s">
        <v>117</v>
      </c>
      <c r="E28" s="2"/>
      <c r="F28" s="2"/>
      <c r="G28" s="2"/>
      <c r="H28" s="2"/>
      <c r="I28" s="2"/>
      <c r="J28" s="2"/>
      <c r="K28" s="2"/>
      <c r="L28" s="2"/>
      <c r="M28" s="2"/>
      <c r="N28" s="2"/>
      <c r="O28" s="2"/>
      <c r="P28" s="2"/>
      <c r="Q28" s="2"/>
      <c r="R28" s="2"/>
      <c r="S28" s="2"/>
      <c r="T28" s="2"/>
      <c r="U28" s="2"/>
      <c r="V28" s="2"/>
      <c r="W28" s="2"/>
      <c r="X28" s="2"/>
      <c r="Y28" s="2"/>
      <c r="Z28" s="2"/>
    </row>
    <row r="29" ht="15.75" customHeight="1">
      <c r="A29" s="1"/>
      <c r="B29" s="1"/>
      <c r="C29" s="1"/>
      <c r="D29" s="1"/>
      <c r="E29" s="2"/>
      <c r="F29" s="2"/>
      <c r="G29" s="2"/>
      <c r="H29" s="2"/>
      <c r="I29" s="2"/>
      <c r="J29" s="2"/>
      <c r="K29" s="2"/>
      <c r="L29" s="2"/>
      <c r="M29" s="2"/>
      <c r="N29" s="2"/>
      <c r="O29" s="2"/>
      <c r="P29" s="2"/>
      <c r="Q29" s="2"/>
      <c r="R29" s="2"/>
      <c r="S29" s="2"/>
      <c r="T29" s="2"/>
      <c r="U29" s="2"/>
      <c r="V29" s="2"/>
      <c r="W29" s="2"/>
      <c r="X29" s="2"/>
      <c r="Y29" s="2"/>
      <c r="Z29" s="2"/>
    </row>
    <row r="30" ht="15.0" customHeight="1">
      <c r="A30" s="11" t="s">
        <v>118</v>
      </c>
      <c r="B30" s="4"/>
      <c r="C30" s="4"/>
      <c r="D30" s="5"/>
      <c r="E30" s="2"/>
      <c r="F30" s="2"/>
      <c r="G30" s="2"/>
      <c r="H30" s="2"/>
      <c r="I30" s="2"/>
      <c r="J30" s="2"/>
      <c r="K30" s="2"/>
      <c r="L30" s="2"/>
      <c r="M30" s="2"/>
      <c r="N30" s="2"/>
      <c r="O30" s="2"/>
      <c r="P30" s="2"/>
      <c r="Q30" s="2"/>
      <c r="R30" s="2"/>
      <c r="S30" s="2"/>
      <c r="T30" s="2"/>
      <c r="U30" s="2"/>
      <c r="V30" s="2"/>
      <c r="W30" s="2"/>
      <c r="X30" s="2"/>
      <c r="Y30" s="2"/>
      <c r="Z30" s="2"/>
    </row>
    <row r="31" ht="15.0" customHeight="1">
      <c r="A31" s="12" t="s">
        <v>119</v>
      </c>
      <c r="B31" s="14">
        <f>Assumptions!B40</f>
        <v>0.005</v>
      </c>
      <c r="C31" s="1"/>
      <c r="D31" s="1"/>
      <c r="E31" s="2"/>
      <c r="F31" s="2"/>
      <c r="G31" s="2"/>
      <c r="H31" s="2"/>
      <c r="I31" s="2"/>
      <c r="J31" s="2"/>
      <c r="K31" s="2"/>
      <c r="L31" s="2"/>
      <c r="M31" s="2"/>
      <c r="N31" s="2"/>
      <c r="O31" s="2"/>
      <c r="P31" s="2"/>
      <c r="Q31" s="2"/>
      <c r="R31" s="2"/>
      <c r="S31" s="2"/>
      <c r="T31" s="2"/>
      <c r="U31" s="2"/>
      <c r="V31" s="2"/>
      <c r="W31" s="2"/>
      <c r="X31" s="2"/>
      <c r="Y31" s="2"/>
      <c r="Z31" s="2"/>
    </row>
    <row r="32" ht="15.0" customHeight="1">
      <c r="A32" s="12" t="s">
        <v>114</v>
      </c>
      <c r="B32" s="42">
        <f>B8+B31</f>
        <v>0.03101300102</v>
      </c>
      <c r="C32" s="1"/>
      <c r="D32" s="1"/>
      <c r="E32" s="2"/>
      <c r="F32" s="2"/>
      <c r="G32" s="2"/>
      <c r="H32" s="2"/>
      <c r="I32" s="2"/>
      <c r="J32" s="2"/>
      <c r="K32" s="2"/>
      <c r="L32" s="2"/>
      <c r="M32" s="2"/>
      <c r="N32" s="2"/>
      <c r="O32" s="2"/>
      <c r="P32" s="2"/>
      <c r="Q32" s="2"/>
      <c r="R32" s="2"/>
      <c r="S32" s="2"/>
      <c r="T32" s="2"/>
      <c r="U32" s="2"/>
      <c r="V32" s="2"/>
      <c r="W32" s="2"/>
      <c r="X32" s="2"/>
      <c r="Y32" s="2"/>
      <c r="Z32" s="2"/>
    </row>
    <row r="33" ht="15.0" customHeight="1">
      <c r="A33" s="12" t="s">
        <v>115</v>
      </c>
      <c r="B33" s="47">
        <f>B32/B8-1</f>
        <v>0.1922115789</v>
      </c>
      <c r="C33" s="1"/>
      <c r="D33" s="1"/>
      <c r="E33" s="2"/>
      <c r="F33" s="2"/>
      <c r="G33" s="2"/>
      <c r="H33" s="2"/>
      <c r="I33" s="2"/>
      <c r="J33" s="2"/>
      <c r="K33" s="2"/>
      <c r="L33" s="2"/>
      <c r="M33" s="2"/>
      <c r="N33" s="2"/>
      <c r="O33" s="2"/>
      <c r="P33" s="2"/>
      <c r="Q33" s="2"/>
      <c r="R33" s="2"/>
      <c r="S33" s="2"/>
      <c r="T33" s="2"/>
      <c r="U33" s="2"/>
      <c r="V33" s="2"/>
      <c r="W33" s="2"/>
      <c r="X33" s="2"/>
      <c r="Y33" s="2"/>
      <c r="Z33" s="2"/>
    </row>
    <row r="34" ht="15.0" customHeight="1">
      <c r="A34" s="12" t="s">
        <v>116</v>
      </c>
      <c r="B34" s="32">
        <f>B7*B32</f>
        <v>203868.18</v>
      </c>
      <c r="C34" s="1"/>
      <c r="D34" s="1"/>
      <c r="E34" s="2"/>
      <c r="F34" s="2"/>
      <c r="G34" s="2"/>
      <c r="H34" s="2"/>
      <c r="I34" s="2"/>
      <c r="J34" s="2"/>
      <c r="K34" s="2"/>
      <c r="L34" s="2"/>
      <c r="M34" s="2"/>
      <c r="N34" s="2"/>
      <c r="O34" s="2"/>
      <c r="P34" s="2"/>
      <c r="Q34" s="2"/>
      <c r="R34" s="2"/>
      <c r="S34" s="2"/>
      <c r="T34" s="2"/>
      <c r="U34" s="2"/>
      <c r="V34" s="2"/>
      <c r="W34" s="2"/>
      <c r="X34" s="2"/>
      <c r="Y34" s="2"/>
      <c r="Z34" s="2"/>
    </row>
    <row r="35" ht="15.0" customHeight="1">
      <c r="A35" s="12" t="s">
        <v>107</v>
      </c>
      <c r="B35" s="17">
        <f>B34*Assumptions!B5</f>
        <v>13251431.7</v>
      </c>
      <c r="C35" s="1"/>
      <c r="D35" s="1"/>
      <c r="E35" s="2"/>
      <c r="F35" s="2"/>
      <c r="G35" s="2"/>
      <c r="H35" s="2"/>
      <c r="I35" s="2"/>
      <c r="J35" s="2"/>
      <c r="K35" s="2"/>
      <c r="L35" s="2"/>
      <c r="M35" s="2"/>
      <c r="N35" s="2"/>
      <c r="O35" s="2"/>
      <c r="P35" s="2"/>
      <c r="Q35" s="2"/>
      <c r="R35" s="2"/>
      <c r="S35" s="2"/>
      <c r="T35" s="2"/>
      <c r="U35" s="2"/>
      <c r="V35" s="2"/>
      <c r="W35" s="2"/>
      <c r="X35" s="2"/>
      <c r="Y35" s="2"/>
      <c r="Z35" s="2"/>
    </row>
    <row r="36" ht="15.0" customHeight="1">
      <c r="A36" s="19" t="s">
        <v>108</v>
      </c>
      <c r="B36" s="44">
        <f>B35-B9</f>
        <v>2136431.7</v>
      </c>
      <c r="C36" s="1"/>
      <c r="D36" s="1"/>
      <c r="E36" s="2"/>
      <c r="F36" s="2"/>
      <c r="G36" s="2"/>
      <c r="H36" s="2"/>
      <c r="I36" s="2"/>
      <c r="J36" s="2"/>
      <c r="K36" s="2"/>
      <c r="L36" s="2"/>
      <c r="M36" s="2"/>
      <c r="N36" s="2"/>
      <c r="O36" s="2"/>
      <c r="P36" s="2"/>
      <c r="Q36" s="2"/>
      <c r="R36" s="2"/>
      <c r="S36" s="2"/>
      <c r="T36" s="2"/>
      <c r="U36" s="2"/>
      <c r="V36" s="2"/>
      <c r="W36" s="2"/>
      <c r="X36" s="2"/>
      <c r="Y36" s="2"/>
      <c r="Z36" s="2"/>
    </row>
    <row r="37" ht="15.75" customHeight="1">
      <c r="A37" s="1"/>
      <c r="B37" s="1"/>
      <c r="C37" s="1"/>
      <c r="D37" s="1"/>
      <c r="E37" s="2"/>
      <c r="F37" s="2"/>
      <c r="G37" s="2"/>
      <c r="H37" s="2"/>
      <c r="I37" s="2"/>
      <c r="J37" s="2"/>
      <c r="K37" s="2"/>
      <c r="L37" s="2"/>
      <c r="M37" s="2"/>
      <c r="N37" s="2"/>
      <c r="O37" s="2"/>
      <c r="P37" s="2"/>
      <c r="Q37" s="2"/>
      <c r="R37" s="2"/>
      <c r="S37" s="2"/>
      <c r="T37" s="2"/>
      <c r="U37" s="2"/>
      <c r="V37" s="2"/>
      <c r="W37" s="2"/>
      <c r="X37" s="2"/>
      <c r="Y37" s="2"/>
      <c r="Z37" s="2"/>
    </row>
    <row r="38" ht="15.0" customHeight="1">
      <c r="A38" s="11" t="s">
        <v>120</v>
      </c>
      <c r="B38" s="4"/>
      <c r="C38" s="4"/>
      <c r="D38" s="5"/>
      <c r="E38" s="2"/>
      <c r="F38" s="2"/>
      <c r="G38" s="2"/>
      <c r="H38" s="2"/>
      <c r="I38" s="2"/>
      <c r="J38" s="2"/>
      <c r="K38" s="2"/>
      <c r="L38" s="2"/>
      <c r="M38" s="2"/>
      <c r="N38" s="2"/>
      <c r="O38" s="2"/>
      <c r="P38" s="2"/>
      <c r="Q38" s="2"/>
      <c r="R38" s="2"/>
      <c r="S38" s="2"/>
      <c r="T38" s="2"/>
      <c r="U38" s="2"/>
      <c r="V38" s="2"/>
      <c r="W38" s="2"/>
      <c r="X38" s="2"/>
      <c r="Y38" s="2"/>
      <c r="Z38" s="2"/>
    </row>
    <row r="39" ht="15.0" customHeight="1">
      <c r="A39" s="12" t="s">
        <v>121</v>
      </c>
      <c r="B39" s="17">
        <f>B16</f>
        <v>1111500</v>
      </c>
      <c r="C39" s="1"/>
      <c r="D39" s="1"/>
      <c r="E39" s="2"/>
      <c r="F39" s="2"/>
      <c r="G39" s="2"/>
      <c r="H39" s="2"/>
      <c r="I39" s="2"/>
      <c r="J39" s="2"/>
      <c r="K39" s="2"/>
      <c r="L39" s="2"/>
      <c r="M39" s="2"/>
      <c r="N39" s="2"/>
      <c r="O39" s="2"/>
      <c r="P39" s="2"/>
      <c r="Q39" s="2"/>
      <c r="R39" s="2"/>
      <c r="S39" s="2"/>
      <c r="T39" s="2"/>
      <c r="U39" s="2"/>
      <c r="V39" s="2"/>
      <c r="W39" s="2"/>
      <c r="X39" s="2"/>
      <c r="Y39" s="2"/>
      <c r="Z39" s="2"/>
    </row>
    <row r="40" ht="15.0" customHeight="1">
      <c r="A40" s="12" t="s">
        <v>122</v>
      </c>
      <c r="B40" s="17">
        <f>B36</f>
        <v>2136431.7</v>
      </c>
      <c r="C40" s="1"/>
      <c r="D40" s="1"/>
      <c r="E40" s="2"/>
      <c r="F40" s="2"/>
      <c r="G40" s="2"/>
      <c r="H40" s="2"/>
      <c r="I40" s="2"/>
      <c r="J40" s="2"/>
      <c r="K40" s="2"/>
      <c r="L40" s="2"/>
      <c r="M40" s="2"/>
      <c r="N40" s="2"/>
      <c r="O40" s="2"/>
      <c r="P40" s="2"/>
      <c r="Q40" s="2"/>
      <c r="R40" s="2"/>
      <c r="S40" s="2"/>
      <c r="T40" s="2"/>
      <c r="U40" s="2"/>
      <c r="V40" s="2"/>
      <c r="W40" s="2"/>
      <c r="X40" s="2"/>
      <c r="Y40" s="2"/>
      <c r="Z40" s="2"/>
    </row>
    <row r="41" ht="15.0" customHeight="1">
      <c r="A41" s="19" t="s">
        <v>123</v>
      </c>
      <c r="B41" s="48">
        <f>B36/B16</f>
        <v>1.922115789</v>
      </c>
      <c r="C41" s="1"/>
      <c r="D41" s="1"/>
      <c r="E41" s="2"/>
      <c r="F41" s="2"/>
      <c r="G41" s="2"/>
      <c r="H41" s="2"/>
      <c r="I41" s="2"/>
      <c r="J41" s="2"/>
      <c r="K41" s="2"/>
      <c r="L41" s="2"/>
      <c r="M41" s="2"/>
      <c r="N41" s="2"/>
      <c r="O41" s="2"/>
      <c r="P41" s="2"/>
      <c r="Q41" s="2"/>
      <c r="R41" s="2"/>
      <c r="S41" s="2"/>
      <c r="T41" s="2"/>
      <c r="U41" s="2"/>
      <c r="V41" s="2"/>
      <c r="W41" s="2"/>
      <c r="X41" s="2"/>
      <c r="Y41" s="2"/>
      <c r="Z41" s="2"/>
    </row>
    <row r="42" ht="31.5" customHeight="1">
      <c r="A42" s="10" t="s">
        <v>124</v>
      </c>
      <c r="E42" s="2"/>
      <c r="F42" s="2"/>
      <c r="G42" s="2"/>
      <c r="H42" s="2"/>
      <c r="I42" s="2"/>
      <c r="J42" s="2"/>
      <c r="K42" s="2"/>
      <c r="L42" s="2"/>
      <c r="M42" s="2"/>
      <c r="N42" s="2"/>
      <c r="O42" s="2"/>
      <c r="P42" s="2"/>
      <c r="Q42" s="2"/>
      <c r="R42" s="2"/>
      <c r="S42" s="2"/>
      <c r="T42" s="2"/>
      <c r="U42" s="2"/>
      <c r="V42" s="2"/>
      <c r="W42" s="2"/>
      <c r="X42" s="2"/>
      <c r="Y42" s="2"/>
      <c r="Z42" s="2"/>
    </row>
    <row r="43" ht="15.75" customHeight="1">
      <c r="A43" s="1"/>
      <c r="B43" s="1"/>
      <c r="C43" s="1"/>
      <c r="D43" s="1"/>
      <c r="E43" s="2"/>
      <c r="F43" s="2"/>
      <c r="G43" s="2"/>
      <c r="H43" s="2"/>
      <c r="I43" s="2"/>
      <c r="J43" s="2"/>
      <c r="K43" s="2"/>
      <c r="L43" s="2"/>
      <c r="M43" s="2"/>
      <c r="N43" s="2"/>
      <c r="O43" s="2"/>
      <c r="P43" s="2"/>
      <c r="Q43" s="2"/>
      <c r="R43" s="2"/>
      <c r="S43" s="2"/>
      <c r="T43" s="2"/>
      <c r="U43" s="2"/>
      <c r="V43" s="2"/>
      <c r="W43" s="2"/>
      <c r="X43" s="2"/>
      <c r="Y43" s="2"/>
      <c r="Z43" s="2"/>
    </row>
    <row r="44" ht="15.75" customHeight="1">
      <c r="A44" s="1"/>
      <c r="B44" s="1"/>
      <c r="C44" s="1"/>
      <c r="D44" s="1"/>
      <c r="E44" s="2"/>
      <c r="F44" s="2"/>
      <c r="G44" s="2"/>
      <c r="H44" s="2"/>
      <c r="I44" s="2"/>
      <c r="J44" s="2"/>
      <c r="K44" s="2"/>
      <c r="L44" s="2"/>
      <c r="M44" s="2"/>
      <c r="N44" s="2"/>
      <c r="O44" s="2"/>
      <c r="P44" s="2"/>
      <c r="Q44" s="2"/>
      <c r="R44" s="2"/>
      <c r="S44" s="2"/>
      <c r="T44" s="2"/>
      <c r="U44" s="2"/>
      <c r="V44" s="2"/>
      <c r="W44" s="2"/>
      <c r="X44" s="2"/>
      <c r="Y44" s="2"/>
      <c r="Z44" s="2"/>
    </row>
    <row r="45" ht="15.75" customHeight="1">
      <c r="A45" s="1"/>
      <c r="B45" s="1"/>
      <c r="C45" s="1"/>
      <c r="D45" s="1"/>
      <c r="E45" s="2"/>
      <c r="F45" s="2"/>
      <c r="G45" s="2"/>
      <c r="H45" s="2"/>
      <c r="I45" s="2"/>
      <c r="J45" s="2"/>
      <c r="K45" s="2"/>
      <c r="L45" s="2"/>
      <c r="M45" s="2"/>
      <c r="N45" s="2"/>
      <c r="O45" s="2"/>
      <c r="P45" s="2"/>
      <c r="Q45" s="2"/>
      <c r="R45" s="2"/>
      <c r="S45" s="2"/>
      <c r="T45" s="2"/>
      <c r="U45" s="2"/>
      <c r="V45" s="2"/>
      <c r="W45" s="2"/>
      <c r="X45" s="2"/>
      <c r="Y45" s="2"/>
      <c r="Z45" s="2"/>
    </row>
    <row r="46" ht="15.75" customHeight="1">
      <c r="A46" s="1"/>
      <c r="B46" s="1"/>
      <c r="C46" s="1"/>
      <c r="D46" s="1"/>
      <c r="E46" s="2"/>
      <c r="F46" s="2"/>
      <c r="G46" s="2"/>
      <c r="H46" s="2"/>
      <c r="I46" s="2"/>
      <c r="J46" s="2"/>
      <c r="K46" s="2"/>
      <c r="L46" s="2"/>
      <c r="M46" s="2"/>
      <c r="N46" s="2"/>
      <c r="O46" s="2"/>
      <c r="P46" s="2"/>
      <c r="Q46" s="2"/>
      <c r="R46" s="2"/>
      <c r="S46" s="2"/>
      <c r="T46" s="2"/>
      <c r="U46" s="2"/>
      <c r="V46" s="2"/>
      <c r="W46" s="2"/>
      <c r="X46" s="2"/>
      <c r="Y46" s="2"/>
      <c r="Z46" s="2"/>
    </row>
    <row r="47" ht="15.75" customHeight="1">
      <c r="A47" s="1"/>
      <c r="B47" s="1"/>
      <c r="C47" s="1"/>
      <c r="D47" s="1"/>
      <c r="E47" s="2"/>
      <c r="F47" s="2"/>
      <c r="G47" s="2"/>
      <c r="H47" s="2"/>
      <c r="I47" s="2"/>
      <c r="J47" s="2"/>
      <c r="K47" s="2"/>
      <c r="L47" s="2"/>
      <c r="M47" s="2"/>
      <c r="N47" s="2"/>
      <c r="O47" s="2"/>
      <c r="P47" s="2"/>
      <c r="Q47" s="2"/>
      <c r="R47" s="2"/>
      <c r="S47" s="2"/>
      <c r="T47" s="2"/>
      <c r="U47" s="2"/>
      <c r="V47" s="2"/>
      <c r="W47" s="2"/>
      <c r="X47" s="2"/>
      <c r="Y47" s="2"/>
      <c r="Z47" s="2"/>
    </row>
    <row r="48" ht="15.75" customHeight="1">
      <c r="A48" s="1"/>
      <c r="B48" s="1"/>
      <c r="C48" s="1"/>
      <c r="D48" s="1"/>
      <c r="E48" s="2"/>
      <c r="F48" s="2"/>
      <c r="G48" s="2"/>
      <c r="H48" s="2"/>
      <c r="I48" s="2"/>
      <c r="J48" s="2"/>
      <c r="K48" s="2"/>
      <c r="L48" s="2"/>
      <c r="M48" s="2"/>
      <c r="N48" s="2"/>
      <c r="O48" s="2"/>
      <c r="P48" s="2"/>
      <c r="Q48" s="2"/>
      <c r="R48" s="2"/>
      <c r="S48" s="2"/>
      <c r="T48" s="2"/>
      <c r="U48" s="2"/>
      <c r="V48" s="2"/>
      <c r="W48" s="2"/>
      <c r="X48" s="2"/>
      <c r="Y48" s="2"/>
      <c r="Z48" s="2"/>
    </row>
    <row r="49" ht="15.75" customHeight="1">
      <c r="A49" s="1"/>
      <c r="B49" s="1"/>
      <c r="C49" s="1"/>
      <c r="D49" s="1"/>
      <c r="E49" s="2"/>
      <c r="F49" s="2"/>
      <c r="G49" s="2"/>
      <c r="H49" s="2"/>
      <c r="I49" s="2"/>
      <c r="J49" s="2"/>
      <c r="K49" s="2"/>
      <c r="L49" s="2"/>
      <c r="M49" s="2"/>
      <c r="N49" s="2"/>
      <c r="O49" s="2"/>
      <c r="P49" s="2"/>
      <c r="Q49" s="2"/>
      <c r="R49" s="2"/>
      <c r="S49" s="2"/>
      <c r="T49" s="2"/>
      <c r="U49" s="2"/>
      <c r="V49" s="2"/>
      <c r="W49" s="2"/>
      <c r="X49" s="2"/>
      <c r="Y49" s="2"/>
      <c r="Z49" s="2"/>
    </row>
    <row r="50" ht="15.75" customHeight="1">
      <c r="A50" s="1"/>
      <c r="B50" s="1"/>
      <c r="C50" s="1"/>
      <c r="D50" s="1"/>
      <c r="E50" s="2"/>
      <c r="F50" s="2"/>
      <c r="G50" s="2"/>
      <c r="H50" s="2"/>
      <c r="I50" s="2"/>
      <c r="J50" s="2"/>
      <c r="K50" s="2"/>
      <c r="L50" s="2"/>
      <c r="M50" s="2"/>
      <c r="N50" s="2"/>
      <c r="O50" s="2"/>
      <c r="P50" s="2"/>
      <c r="Q50" s="2"/>
      <c r="R50" s="2"/>
      <c r="S50" s="2"/>
      <c r="T50" s="2"/>
      <c r="U50" s="2"/>
      <c r="V50" s="2"/>
      <c r="W50" s="2"/>
      <c r="X50" s="2"/>
      <c r="Y50" s="2"/>
      <c r="Z50" s="2"/>
    </row>
    <row r="51" ht="15.75" customHeight="1">
      <c r="A51" s="1"/>
      <c r="B51" s="1"/>
      <c r="C51" s="1"/>
      <c r="D51" s="1"/>
      <c r="E51" s="2"/>
      <c r="F51" s="2"/>
      <c r="G51" s="2"/>
      <c r="H51" s="2"/>
      <c r="I51" s="2"/>
      <c r="J51" s="2"/>
      <c r="K51" s="2"/>
      <c r="L51" s="2"/>
      <c r="M51" s="2"/>
      <c r="N51" s="2"/>
      <c r="O51" s="2"/>
      <c r="P51" s="2"/>
      <c r="Q51" s="2"/>
      <c r="R51" s="2"/>
      <c r="S51" s="2"/>
      <c r="T51" s="2"/>
      <c r="U51" s="2"/>
      <c r="V51" s="2"/>
      <c r="W51" s="2"/>
      <c r="X51" s="2"/>
      <c r="Y51" s="2"/>
      <c r="Z51" s="2"/>
    </row>
    <row r="52" ht="15.75" customHeight="1">
      <c r="A52" s="1"/>
      <c r="B52" s="1"/>
      <c r="C52" s="1"/>
      <c r="D52" s="1"/>
      <c r="E52" s="2"/>
      <c r="F52" s="2"/>
      <c r="G52" s="2"/>
      <c r="H52" s="2"/>
      <c r="I52" s="2"/>
      <c r="J52" s="2"/>
      <c r="K52" s="2"/>
      <c r="L52" s="2"/>
      <c r="M52" s="2"/>
      <c r="N52" s="2"/>
      <c r="O52" s="2"/>
      <c r="P52" s="2"/>
      <c r="Q52" s="2"/>
      <c r="R52" s="2"/>
      <c r="S52" s="2"/>
      <c r="T52" s="2"/>
      <c r="U52" s="2"/>
      <c r="V52" s="2"/>
      <c r="W52" s="2"/>
      <c r="X52" s="2"/>
      <c r="Y52" s="2"/>
      <c r="Z52" s="2"/>
    </row>
    <row r="53" ht="15.75" customHeight="1">
      <c r="A53" s="1"/>
      <c r="B53" s="1"/>
      <c r="C53" s="1"/>
      <c r="D53" s="1"/>
      <c r="E53" s="2"/>
      <c r="F53" s="2"/>
      <c r="G53" s="2"/>
      <c r="H53" s="2"/>
      <c r="I53" s="2"/>
      <c r="J53" s="2"/>
      <c r="K53" s="2"/>
      <c r="L53" s="2"/>
      <c r="M53" s="2"/>
      <c r="N53" s="2"/>
      <c r="O53" s="2"/>
      <c r="P53" s="2"/>
      <c r="Q53" s="2"/>
      <c r="R53" s="2"/>
      <c r="S53" s="2"/>
      <c r="T53" s="2"/>
      <c r="U53" s="2"/>
      <c r="V53" s="2"/>
      <c r="W53" s="2"/>
      <c r="X53" s="2"/>
      <c r="Y53" s="2"/>
      <c r="Z53" s="2"/>
    </row>
    <row r="54" ht="15.75" customHeight="1">
      <c r="A54" s="1"/>
      <c r="B54" s="1"/>
      <c r="C54" s="1"/>
      <c r="D54" s="1"/>
      <c r="E54" s="2"/>
      <c r="F54" s="2"/>
      <c r="G54" s="2"/>
      <c r="H54" s="2"/>
      <c r="I54" s="2"/>
      <c r="J54" s="2"/>
      <c r="K54" s="2"/>
      <c r="L54" s="2"/>
      <c r="M54" s="2"/>
      <c r="N54" s="2"/>
      <c r="O54" s="2"/>
      <c r="P54" s="2"/>
      <c r="Q54" s="2"/>
      <c r="R54" s="2"/>
      <c r="S54" s="2"/>
      <c r="T54" s="2"/>
      <c r="U54" s="2"/>
      <c r="V54" s="2"/>
      <c r="W54" s="2"/>
      <c r="X54" s="2"/>
      <c r="Y54" s="2"/>
      <c r="Z54" s="2"/>
    </row>
    <row r="55" ht="15.75" customHeight="1">
      <c r="A55" s="1"/>
      <c r="B55" s="1"/>
      <c r="C55" s="1"/>
      <c r="D55" s="1"/>
      <c r="E55" s="2"/>
      <c r="F55" s="2"/>
      <c r="G55" s="2"/>
      <c r="H55" s="2"/>
      <c r="I55" s="2"/>
      <c r="J55" s="2"/>
      <c r="K55" s="2"/>
      <c r="L55" s="2"/>
      <c r="M55" s="2"/>
      <c r="N55" s="2"/>
      <c r="O55" s="2"/>
      <c r="P55" s="2"/>
      <c r="Q55" s="2"/>
      <c r="R55" s="2"/>
      <c r="S55" s="2"/>
      <c r="T55" s="2"/>
      <c r="U55" s="2"/>
      <c r="V55" s="2"/>
      <c r="W55" s="2"/>
      <c r="X55" s="2"/>
      <c r="Y55" s="2"/>
      <c r="Z55" s="2"/>
    </row>
    <row r="56" ht="15.75" customHeight="1">
      <c r="A56" s="1"/>
      <c r="B56" s="1"/>
      <c r="C56" s="1"/>
      <c r="D56" s="1"/>
      <c r="E56" s="2"/>
      <c r="F56" s="2"/>
      <c r="G56" s="2"/>
      <c r="H56" s="2"/>
      <c r="I56" s="2"/>
      <c r="J56" s="2"/>
      <c r="K56" s="2"/>
      <c r="L56" s="2"/>
      <c r="M56" s="2"/>
      <c r="N56" s="2"/>
      <c r="O56" s="2"/>
      <c r="P56" s="2"/>
      <c r="Q56" s="2"/>
      <c r="R56" s="2"/>
      <c r="S56" s="2"/>
      <c r="T56" s="2"/>
      <c r="U56" s="2"/>
      <c r="V56" s="2"/>
      <c r="W56" s="2"/>
      <c r="X56" s="2"/>
      <c r="Y56" s="2"/>
      <c r="Z56" s="2"/>
    </row>
    <row r="57" ht="15.75" customHeight="1">
      <c r="A57" s="1"/>
      <c r="B57" s="1"/>
      <c r="C57" s="1"/>
      <c r="D57" s="1"/>
      <c r="E57" s="2"/>
      <c r="F57" s="2"/>
      <c r="G57" s="2"/>
      <c r="H57" s="2"/>
      <c r="I57" s="2"/>
      <c r="J57" s="2"/>
      <c r="K57" s="2"/>
      <c r="L57" s="2"/>
      <c r="M57" s="2"/>
      <c r="N57" s="2"/>
      <c r="O57" s="2"/>
      <c r="P57" s="2"/>
      <c r="Q57" s="2"/>
      <c r="R57" s="2"/>
      <c r="S57" s="2"/>
      <c r="T57" s="2"/>
      <c r="U57" s="2"/>
      <c r="V57" s="2"/>
      <c r="W57" s="2"/>
      <c r="X57" s="2"/>
      <c r="Y57" s="2"/>
      <c r="Z57" s="2"/>
    </row>
    <row r="58" ht="15.75" customHeight="1">
      <c r="A58" s="1"/>
      <c r="B58" s="1"/>
      <c r="C58" s="1"/>
      <c r="D58" s="1"/>
      <c r="E58" s="2"/>
      <c r="F58" s="2"/>
      <c r="G58" s="2"/>
      <c r="H58" s="2"/>
      <c r="I58" s="2"/>
      <c r="J58" s="2"/>
      <c r="K58" s="2"/>
      <c r="L58" s="2"/>
      <c r="M58" s="2"/>
      <c r="N58" s="2"/>
      <c r="O58" s="2"/>
      <c r="P58" s="2"/>
      <c r="Q58" s="2"/>
      <c r="R58" s="2"/>
      <c r="S58" s="2"/>
      <c r="T58" s="2"/>
      <c r="U58" s="2"/>
      <c r="V58" s="2"/>
      <c r="W58" s="2"/>
      <c r="X58" s="2"/>
      <c r="Y58" s="2"/>
      <c r="Z58" s="2"/>
    </row>
    <row r="59" ht="15.75" customHeight="1">
      <c r="A59" s="1"/>
      <c r="B59" s="1"/>
      <c r="C59" s="1"/>
      <c r="D59" s="1"/>
      <c r="E59" s="2"/>
      <c r="F59" s="2"/>
      <c r="G59" s="2"/>
      <c r="H59" s="2"/>
      <c r="I59" s="2"/>
      <c r="J59" s="2"/>
      <c r="K59" s="2"/>
      <c r="L59" s="2"/>
      <c r="M59" s="2"/>
      <c r="N59" s="2"/>
      <c r="O59" s="2"/>
      <c r="P59" s="2"/>
      <c r="Q59" s="2"/>
      <c r="R59" s="2"/>
      <c r="S59" s="2"/>
      <c r="T59" s="2"/>
      <c r="U59" s="2"/>
      <c r="V59" s="2"/>
      <c r="W59" s="2"/>
      <c r="X59" s="2"/>
      <c r="Y59" s="2"/>
      <c r="Z59" s="2"/>
    </row>
    <row r="60" ht="15.75" customHeight="1">
      <c r="A60" s="1"/>
      <c r="B60" s="1"/>
      <c r="C60" s="1"/>
      <c r="D60" s="1"/>
      <c r="E60" s="2"/>
      <c r="F60" s="2"/>
      <c r="G60" s="2"/>
      <c r="H60" s="2"/>
      <c r="I60" s="2"/>
      <c r="J60" s="2"/>
      <c r="K60" s="2"/>
      <c r="L60" s="2"/>
      <c r="M60" s="2"/>
      <c r="N60" s="2"/>
      <c r="O60" s="2"/>
      <c r="P60" s="2"/>
      <c r="Q60" s="2"/>
      <c r="R60" s="2"/>
      <c r="S60" s="2"/>
      <c r="T60" s="2"/>
      <c r="U60" s="2"/>
      <c r="V60" s="2"/>
      <c r="W60" s="2"/>
      <c r="X60" s="2"/>
      <c r="Y60" s="2"/>
      <c r="Z60" s="2"/>
    </row>
    <row r="61" ht="15.75" customHeight="1">
      <c r="A61" s="1"/>
      <c r="B61" s="1"/>
      <c r="C61" s="1"/>
      <c r="D61" s="1"/>
      <c r="E61" s="2"/>
      <c r="F61" s="2"/>
      <c r="G61" s="2"/>
      <c r="H61" s="2"/>
      <c r="I61" s="2"/>
      <c r="J61" s="2"/>
      <c r="K61" s="2"/>
      <c r="L61" s="2"/>
      <c r="M61" s="2"/>
      <c r="N61" s="2"/>
      <c r="O61" s="2"/>
      <c r="P61" s="2"/>
      <c r="Q61" s="2"/>
      <c r="R61" s="2"/>
      <c r="S61" s="2"/>
      <c r="T61" s="2"/>
      <c r="U61" s="2"/>
      <c r="V61" s="2"/>
      <c r="W61" s="2"/>
      <c r="X61" s="2"/>
      <c r="Y61" s="2"/>
      <c r="Z61" s="2"/>
    </row>
    <row r="62" ht="15.75" customHeight="1">
      <c r="A62" s="1"/>
      <c r="B62" s="1"/>
      <c r="C62" s="1"/>
      <c r="D62" s="1"/>
      <c r="E62" s="2"/>
      <c r="F62" s="2"/>
      <c r="G62" s="2"/>
      <c r="H62" s="2"/>
      <c r="I62" s="2"/>
      <c r="J62" s="2"/>
      <c r="K62" s="2"/>
      <c r="L62" s="2"/>
      <c r="M62" s="2"/>
      <c r="N62" s="2"/>
      <c r="O62" s="2"/>
      <c r="P62" s="2"/>
      <c r="Q62" s="2"/>
      <c r="R62" s="2"/>
      <c r="S62" s="2"/>
      <c r="T62" s="2"/>
      <c r="U62" s="2"/>
      <c r="V62" s="2"/>
      <c r="W62" s="2"/>
      <c r="X62" s="2"/>
      <c r="Y62" s="2"/>
      <c r="Z62" s="2"/>
    </row>
    <row r="63" ht="15.75" customHeight="1">
      <c r="A63" s="1"/>
      <c r="B63" s="1"/>
      <c r="C63" s="1"/>
      <c r="D63" s="1"/>
      <c r="E63" s="2"/>
      <c r="F63" s="2"/>
      <c r="G63" s="2"/>
      <c r="H63" s="2"/>
      <c r="I63" s="2"/>
      <c r="J63" s="2"/>
      <c r="K63" s="2"/>
      <c r="L63" s="2"/>
      <c r="M63" s="2"/>
      <c r="N63" s="2"/>
      <c r="O63" s="2"/>
      <c r="P63" s="2"/>
      <c r="Q63" s="2"/>
      <c r="R63" s="2"/>
      <c r="S63" s="2"/>
      <c r="T63" s="2"/>
      <c r="U63" s="2"/>
      <c r="V63" s="2"/>
      <c r="W63" s="2"/>
      <c r="X63" s="2"/>
      <c r="Y63" s="2"/>
      <c r="Z63" s="2"/>
    </row>
    <row r="64" ht="15.75" customHeight="1">
      <c r="A64" s="1"/>
      <c r="B64" s="1"/>
      <c r="C64" s="1"/>
      <c r="D64" s="1"/>
      <c r="E64" s="2"/>
      <c r="F64" s="2"/>
      <c r="G64" s="2"/>
      <c r="H64" s="2"/>
      <c r="I64" s="2"/>
      <c r="J64" s="2"/>
      <c r="K64" s="2"/>
      <c r="L64" s="2"/>
      <c r="M64" s="2"/>
      <c r="N64" s="2"/>
      <c r="O64" s="2"/>
      <c r="P64" s="2"/>
      <c r="Q64" s="2"/>
      <c r="R64" s="2"/>
      <c r="S64" s="2"/>
      <c r="T64" s="2"/>
      <c r="U64" s="2"/>
      <c r="V64" s="2"/>
      <c r="W64" s="2"/>
      <c r="X64" s="2"/>
      <c r="Y64" s="2"/>
      <c r="Z64" s="2"/>
    </row>
    <row r="65" ht="15.75" customHeight="1">
      <c r="A65" s="1"/>
      <c r="B65" s="1"/>
      <c r="C65" s="1"/>
      <c r="D65" s="1"/>
      <c r="E65" s="2"/>
      <c r="F65" s="2"/>
      <c r="G65" s="2"/>
      <c r="H65" s="2"/>
      <c r="I65" s="2"/>
      <c r="J65" s="2"/>
      <c r="K65" s="2"/>
      <c r="L65" s="2"/>
      <c r="M65" s="2"/>
      <c r="N65" s="2"/>
      <c r="O65" s="2"/>
      <c r="P65" s="2"/>
      <c r="Q65" s="2"/>
      <c r="R65" s="2"/>
      <c r="S65" s="2"/>
      <c r="T65" s="2"/>
      <c r="U65" s="2"/>
      <c r="V65" s="2"/>
      <c r="W65" s="2"/>
      <c r="X65" s="2"/>
      <c r="Y65" s="2"/>
      <c r="Z65" s="2"/>
    </row>
    <row r="66" ht="15.75" customHeight="1">
      <c r="A66" s="1"/>
      <c r="B66" s="1"/>
      <c r="C66" s="1"/>
      <c r="D66" s="1"/>
      <c r="E66" s="2"/>
      <c r="F66" s="2"/>
      <c r="G66" s="2"/>
      <c r="H66" s="2"/>
      <c r="I66" s="2"/>
      <c r="J66" s="2"/>
      <c r="K66" s="2"/>
      <c r="L66" s="2"/>
      <c r="M66" s="2"/>
      <c r="N66" s="2"/>
      <c r="O66" s="2"/>
      <c r="P66" s="2"/>
      <c r="Q66" s="2"/>
      <c r="R66" s="2"/>
      <c r="S66" s="2"/>
      <c r="T66" s="2"/>
      <c r="U66" s="2"/>
      <c r="V66" s="2"/>
      <c r="W66" s="2"/>
      <c r="X66" s="2"/>
      <c r="Y66" s="2"/>
      <c r="Z66" s="2"/>
    </row>
    <row r="67" ht="15.75" customHeight="1">
      <c r="A67" s="1"/>
      <c r="B67" s="1"/>
      <c r="C67" s="1"/>
      <c r="D67" s="1"/>
      <c r="E67" s="2"/>
      <c r="F67" s="2"/>
      <c r="G67" s="2"/>
      <c r="H67" s="2"/>
      <c r="I67" s="2"/>
      <c r="J67" s="2"/>
      <c r="K67" s="2"/>
      <c r="L67" s="2"/>
      <c r="M67" s="2"/>
      <c r="N67" s="2"/>
      <c r="O67" s="2"/>
      <c r="P67" s="2"/>
      <c r="Q67" s="2"/>
      <c r="R67" s="2"/>
      <c r="S67" s="2"/>
      <c r="T67" s="2"/>
      <c r="U67" s="2"/>
      <c r="V67" s="2"/>
      <c r="W67" s="2"/>
      <c r="X67" s="2"/>
      <c r="Y67" s="2"/>
      <c r="Z67" s="2"/>
    </row>
    <row r="68" ht="15.75" customHeight="1">
      <c r="A68" s="1"/>
      <c r="B68" s="1"/>
      <c r="C68" s="1"/>
      <c r="D68" s="1"/>
      <c r="E68" s="2"/>
      <c r="F68" s="2"/>
      <c r="G68" s="2"/>
      <c r="H68" s="2"/>
      <c r="I68" s="2"/>
      <c r="J68" s="2"/>
      <c r="K68" s="2"/>
      <c r="L68" s="2"/>
      <c r="M68" s="2"/>
      <c r="N68" s="2"/>
      <c r="O68" s="2"/>
      <c r="P68" s="2"/>
      <c r="Q68" s="2"/>
      <c r="R68" s="2"/>
      <c r="S68" s="2"/>
      <c r="T68" s="2"/>
      <c r="U68" s="2"/>
      <c r="V68" s="2"/>
      <c r="W68" s="2"/>
      <c r="X68" s="2"/>
      <c r="Y68" s="2"/>
      <c r="Z68" s="2"/>
    </row>
    <row r="69" ht="15.75" customHeight="1">
      <c r="A69" s="1"/>
      <c r="B69" s="1"/>
      <c r="C69" s="1"/>
      <c r="D69" s="1"/>
      <c r="E69" s="2"/>
      <c r="F69" s="2"/>
      <c r="G69" s="2"/>
      <c r="H69" s="2"/>
      <c r="I69" s="2"/>
      <c r="J69" s="2"/>
      <c r="K69" s="2"/>
      <c r="L69" s="2"/>
      <c r="M69" s="2"/>
      <c r="N69" s="2"/>
      <c r="O69" s="2"/>
      <c r="P69" s="2"/>
      <c r="Q69" s="2"/>
      <c r="R69" s="2"/>
      <c r="S69" s="2"/>
      <c r="T69" s="2"/>
      <c r="U69" s="2"/>
      <c r="V69" s="2"/>
      <c r="W69" s="2"/>
      <c r="X69" s="2"/>
      <c r="Y69" s="2"/>
      <c r="Z69" s="2"/>
    </row>
    <row r="70" ht="15.75" customHeight="1">
      <c r="A70" s="1"/>
      <c r="B70" s="1"/>
      <c r="C70" s="1"/>
      <c r="D70" s="1"/>
      <c r="E70" s="2"/>
      <c r="F70" s="2"/>
      <c r="G70" s="2"/>
      <c r="H70" s="2"/>
      <c r="I70" s="2"/>
      <c r="J70" s="2"/>
      <c r="K70" s="2"/>
      <c r="L70" s="2"/>
      <c r="M70" s="2"/>
      <c r="N70" s="2"/>
      <c r="O70" s="2"/>
      <c r="P70" s="2"/>
      <c r="Q70" s="2"/>
      <c r="R70" s="2"/>
      <c r="S70" s="2"/>
      <c r="T70" s="2"/>
      <c r="U70" s="2"/>
      <c r="V70" s="2"/>
      <c r="W70" s="2"/>
      <c r="X70" s="2"/>
      <c r="Y70" s="2"/>
      <c r="Z70" s="2"/>
    </row>
    <row r="71" ht="15.75" customHeight="1">
      <c r="A71" s="1"/>
      <c r="B71" s="1"/>
      <c r="C71" s="1"/>
      <c r="D71" s="1"/>
      <c r="E71" s="2"/>
      <c r="F71" s="2"/>
      <c r="G71" s="2"/>
      <c r="H71" s="2"/>
      <c r="I71" s="2"/>
      <c r="J71" s="2"/>
      <c r="K71" s="2"/>
      <c r="L71" s="2"/>
      <c r="M71" s="2"/>
      <c r="N71" s="2"/>
      <c r="O71" s="2"/>
      <c r="P71" s="2"/>
      <c r="Q71" s="2"/>
      <c r="R71" s="2"/>
      <c r="S71" s="2"/>
      <c r="T71" s="2"/>
      <c r="U71" s="2"/>
      <c r="V71" s="2"/>
      <c r="W71" s="2"/>
      <c r="X71" s="2"/>
      <c r="Y71" s="2"/>
      <c r="Z71" s="2"/>
    </row>
    <row r="72" ht="15.75" customHeight="1">
      <c r="A72" s="1"/>
      <c r="B72" s="1"/>
      <c r="C72" s="1"/>
      <c r="D72" s="1"/>
      <c r="E72" s="2"/>
      <c r="F72" s="2"/>
      <c r="G72" s="2"/>
      <c r="H72" s="2"/>
      <c r="I72" s="2"/>
      <c r="J72" s="2"/>
      <c r="K72" s="2"/>
      <c r="L72" s="2"/>
      <c r="M72" s="2"/>
      <c r="N72" s="2"/>
      <c r="O72" s="2"/>
      <c r="P72" s="2"/>
      <c r="Q72" s="2"/>
      <c r="R72" s="2"/>
      <c r="S72" s="2"/>
      <c r="T72" s="2"/>
      <c r="U72" s="2"/>
      <c r="V72" s="2"/>
      <c r="W72" s="2"/>
      <c r="X72" s="2"/>
      <c r="Y72" s="2"/>
      <c r="Z72" s="2"/>
    </row>
    <row r="73" ht="15.75" customHeight="1">
      <c r="A73" s="1"/>
      <c r="B73" s="1"/>
      <c r="C73" s="1"/>
      <c r="D73" s="1"/>
      <c r="E73" s="2"/>
      <c r="F73" s="2"/>
      <c r="G73" s="2"/>
      <c r="H73" s="2"/>
      <c r="I73" s="2"/>
      <c r="J73" s="2"/>
      <c r="K73" s="2"/>
      <c r="L73" s="2"/>
      <c r="M73" s="2"/>
      <c r="N73" s="2"/>
      <c r="O73" s="2"/>
      <c r="P73" s="2"/>
      <c r="Q73" s="2"/>
      <c r="R73" s="2"/>
      <c r="S73" s="2"/>
      <c r="T73" s="2"/>
      <c r="U73" s="2"/>
      <c r="V73" s="2"/>
      <c r="W73" s="2"/>
      <c r="X73" s="2"/>
      <c r="Y73" s="2"/>
      <c r="Z73" s="2"/>
    </row>
    <row r="74" ht="15.75" customHeight="1">
      <c r="A74" s="1"/>
      <c r="B74" s="1"/>
      <c r="C74" s="1"/>
      <c r="D74" s="1"/>
      <c r="E74" s="2"/>
      <c r="F74" s="2"/>
      <c r="G74" s="2"/>
      <c r="H74" s="2"/>
      <c r="I74" s="2"/>
      <c r="J74" s="2"/>
      <c r="K74" s="2"/>
      <c r="L74" s="2"/>
      <c r="M74" s="2"/>
      <c r="N74" s="2"/>
      <c r="O74" s="2"/>
      <c r="P74" s="2"/>
      <c r="Q74" s="2"/>
      <c r="R74" s="2"/>
      <c r="S74" s="2"/>
      <c r="T74" s="2"/>
      <c r="U74" s="2"/>
      <c r="V74" s="2"/>
      <c r="W74" s="2"/>
      <c r="X74" s="2"/>
      <c r="Y74" s="2"/>
      <c r="Z74" s="2"/>
    </row>
    <row r="75" ht="15.75" customHeight="1">
      <c r="A75" s="1"/>
      <c r="B75" s="1"/>
      <c r="C75" s="1"/>
      <c r="D75" s="1"/>
      <c r="E75" s="2"/>
      <c r="F75" s="2"/>
      <c r="G75" s="2"/>
      <c r="H75" s="2"/>
      <c r="I75" s="2"/>
      <c r="J75" s="2"/>
      <c r="K75" s="2"/>
      <c r="L75" s="2"/>
      <c r="M75" s="2"/>
      <c r="N75" s="2"/>
      <c r="O75" s="2"/>
      <c r="P75" s="2"/>
      <c r="Q75" s="2"/>
      <c r="R75" s="2"/>
      <c r="S75" s="2"/>
      <c r="T75" s="2"/>
      <c r="U75" s="2"/>
      <c r="V75" s="2"/>
      <c r="W75" s="2"/>
      <c r="X75" s="2"/>
      <c r="Y75" s="2"/>
      <c r="Z75" s="2"/>
    </row>
    <row r="76" ht="15.75" customHeight="1">
      <c r="A76" s="1"/>
      <c r="B76" s="1"/>
      <c r="C76" s="1"/>
      <c r="D76" s="1"/>
      <c r="E76" s="2"/>
      <c r="F76" s="2"/>
      <c r="G76" s="2"/>
      <c r="H76" s="2"/>
      <c r="I76" s="2"/>
      <c r="J76" s="2"/>
      <c r="K76" s="2"/>
      <c r="L76" s="2"/>
      <c r="M76" s="2"/>
      <c r="N76" s="2"/>
      <c r="O76" s="2"/>
      <c r="P76" s="2"/>
      <c r="Q76" s="2"/>
      <c r="R76" s="2"/>
      <c r="S76" s="2"/>
      <c r="T76" s="2"/>
      <c r="U76" s="2"/>
      <c r="V76" s="2"/>
      <c r="W76" s="2"/>
      <c r="X76" s="2"/>
      <c r="Y76" s="2"/>
      <c r="Z76" s="2"/>
    </row>
    <row r="77" ht="15.75" customHeight="1">
      <c r="A77" s="1"/>
      <c r="B77" s="1"/>
      <c r="C77" s="1"/>
      <c r="D77" s="1"/>
      <c r="E77" s="2"/>
      <c r="F77" s="2"/>
      <c r="G77" s="2"/>
      <c r="H77" s="2"/>
      <c r="I77" s="2"/>
      <c r="J77" s="2"/>
      <c r="K77" s="2"/>
      <c r="L77" s="2"/>
      <c r="M77" s="2"/>
      <c r="N77" s="2"/>
      <c r="O77" s="2"/>
      <c r="P77" s="2"/>
      <c r="Q77" s="2"/>
      <c r="R77" s="2"/>
      <c r="S77" s="2"/>
      <c r="T77" s="2"/>
      <c r="U77" s="2"/>
      <c r="V77" s="2"/>
      <c r="W77" s="2"/>
      <c r="X77" s="2"/>
      <c r="Y77" s="2"/>
      <c r="Z77" s="2"/>
    </row>
    <row r="78" ht="15.75" customHeight="1">
      <c r="A78" s="1"/>
      <c r="B78" s="1"/>
      <c r="C78" s="1"/>
      <c r="D78" s="1"/>
      <c r="E78" s="2"/>
      <c r="F78" s="2"/>
      <c r="G78" s="2"/>
      <c r="H78" s="2"/>
      <c r="I78" s="2"/>
      <c r="J78" s="2"/>
      <c r="K78" s="2"/>
      <c r="L78" s="2"/>
      <c r="M78" s="2"/>
      <c r="N78" s="2"/>
      <c r="O78" s="2"/>
      <c r="P78" s="2"/>
      <c r="Q78" s="2"/>
      <c r="R78" s="2"/>
      <c r="S78" s="2"/>
      <c r="T78" s="2"/>
      <c r="U78" s="2"/>
      <c r="V78" s="2"/>
      <c r="W78" s="2"/>
      <c r="X78" s="2"/>
      <c r="Y78" s="2"/>
      <c r="Z78" s="2"/>
    </row>
    <row r="79" ht="15.75" customHeight="1">
      <c r="A79" s="1"/>
      <c r="B79" s="1"/>
      <c r="C79" s="1"/>
      <c r="D79" s="1"/>
      <c r="E79" s="2"/>
      <c r="F79" s="2"/>
      <c r="G79" s="2"/>
      <c r="H79" s="2"/>
      <c r="I79" s="2"/>
      <c r="J79" s="2"/>
      <c r="K79" s="2"/>
      <c r="L79" s="2"/>
      <c r="M79" s="2"/>
      <c r="N79" s="2"/>
      <c r="O79" s="2"/>
      <c r="P79" s="2"/>
      <c r="Q79" s="2"/>
      <c r="R79" s="2"/>
      <c r="S79" s="2"/>
      <c r="T79" s="2"/>
      <c r="U79" s="2"/>
      <c r="V79" s="2"/>
      <c r="W79" s="2"/>
      <c r="X79" s="2"/>
      <c r="Y79" s="2"/>
      <c r="Z79" s="2"/>
    </row>
    <row r="80" ht="15.75" customHeight="1">
      <c r="A80" s="1"/>
      <c r="B80" s="1"/>
      <c r="C80" s="1"/>
      <c r="D80" s="1"/>
      <c r="E80" s="2"/>
      <c r="F80" s="2"/>
      <c r="G80" s="2"/>
      <c r="H80" s="2"/>
      <c r="I80" s="2"/>
      <c r="J80" s="2"/>
      <c r="K80" s="2"/>
      <c r="L80" s="2"/>
      <c r="M80" s="2"/>
      <c r="N80" s="2"/>
      <c r="O80" s="2"/>
      <c r="P80" s="2"/>
      <c r="Q80" s="2"/>
      <c r="R80" s="2"/>
      <c r="S80" s="2"/>
      <c r="T80" s="2"/>
      <c r="U80" s="2"/>
      <c r="V80" s="2"/>
      <c r="W80" s="2"/>
      <c r="X80" s="2"/>
      <c r="Y80" s="2"/>
      <c r="Z80" s="2"/>
    </row>
    <row r="81" ht="15.75" customHeight="1">
      <c r="A81" s="1"/>
      <c r="B81" s="1"/>
      <c r="C81" s="1"/>
      <c r="D81" s="1"/>
      <c r="E81" s="2"/>
      <c r="F81" s="2"/>
      <c r="G81" s="2"/>
      <c r="H81" s="2"/>
      <c r="I81" s="2"/>
      <c r="J81" s="2"/>
      <c r="K81" s="2"/>
      <c r="L81" s="2"/>
      <c r="M81" s="2"/>
      <c r="N81" s="2"/>
      <c r="O81" s="2"/>
      <c r="P81" s="2"/>
      <c r="Q81" s="2"/>
      <c r="R81" s="2"/>
      <c r="S81" s="2"/>
      <c r="T81" s="2"/>
      <c r="U81" s="2"/>
      <c r="V81" s="2"/>
      <c r="W81" s="2"/>
      <c r="X81" s="2"/>
      <c r="Y81" s="2"/>
      <c r="Z81" s="2"/>
    </row>
    <row r="82" ht="15.75" customHeight="1">
      <c r="A82" s="1"/>
      <c r="B82" s="1"/>
      <c r="C82" s="1"/>
      <c r="D82" s="1"/>
      <c r="E82" s="2"/>
      <c r="F82" s="2"/>
      <c r="G82" s="2"/>
      <c r="H82" s="2"/>
      <c r="I82" s="2"/>
      <c r="J82" s="2"/>
      <c r="K82" s="2"/>
      <c r="L82" s="2"/>
      <c r="M82" s="2"/>
      <c r="N82" s="2"/>
      <c r="O82" s="2"/>
      <c r="P82" s="2"/>
      <c r="Q82" s="2"/>
      <c r="R82" s="2"/>
      <c r="S82" s="2"/>
      <c r="T82" s="2"/>
      <c r="U82" s="2"/>
      <c r="V82" s="2"/>
      <c r="W82" s="2"/>
      <c r="X82" s="2"/>
      <c r="Y82" s="2"/>
      <c r="Z82" s="2"/>
    </row>
    <row r="83" ht="15.75" customHeight="1">
      <c r="A83" s="1"/>
      <c r="B83" s="1"/>
      <c r="C83" s="1"/>
      <c r="D83" s="1"/>
      <c r="E83" s="2"/>
      <c r="F83" s="2"/>
      <c r="G83" s="2"/>
      <c r="H83" s="2"/>
      <c r="I83" s="2"/>
      <c r="J83" s="2"/>
      <c r="K83" s="2"/>
      <c r="L83" s="2"/>
      <c r="M83" s="2"/>
      <c r="N83" s="2"/>
      <c r="O83" s="2"/>
      <c r="P83" s="2"/>
      <c r="Q83" s="2"/>
      <c r="R83" s="2"/>
      <c r="S83" s="2"/>
      <c r="T83" s="2"/>
      <c r="U83" s="2"/>
      <c r="V83" s="2"/>
      <c r="W83" s="2"/>
      <c r="X83" s="2"/>
      <c r="Y83" s="2"/>
      <c r="Z83" s="2"/>
    </row>
    <row r="84" ht="15.75" customHeight="1">
      <c r="A84" s="1"/>
      <c r="B84" s="1"/>
      <c r="C84" s="1"/>
      <c r="D84" s="1"/>
      <c r="E84" s="2"/>
      <c r="F84" s="2"/>
      <c r="G84" s="2"/>
      <c r="H84" s="2"/>
      <c r="I84" s="2"/>
      <c r="J84" s="2"/>
      <c r="K84" s="2"/>
      <c r="L84" s="2"/>
      <c r="M84" s="2"/>
      <c r="N84" s="2"/>
      <c r="O84" s="2"/>
      <c r="P84" s="2"/>
      <c r="Q84" s="2"/>
      <c r="R84" s="2"/>
      <c r="S84" s="2"/>
      <c r="T84" s="2"/>
      <c r="U84" s="2"/>
      <c r="V84" s="2"/>
      <c r="W84" s="2"/>
      <c r="X84" s="2"/>
      <c r="Y84" s="2"/>
      <c r="Z84" s="2"/>
    </row>
    <row r="85" ht="15.75" customHeight="1">
      <c r="A85" s="1"/>
      <c r="B85" s="1"/>
      <c r="C85" s="1"/>
      <c r="D85" s="1"/>
      <c r="E85" s="2"/>
      <c r="F85" s="2"/>
      <c r="G85" s="2"/>
      <c r="H85" s="2"/>
      <c r="I85" s="2"/>
      <c r="J85" s="2"/>
      <c r="K85" s="2"/>
      <c r="L85" s="2"/>
      <c r="M85" s="2"/>
      <c r="N85" s="2"/>
      <c r="O85" s="2"/>
      <c r="P85" s="2"/>
      <c r="Q85" s="2"/>
      <c r="R85" s="2"/>
      <c r="S85" s="2"/>
      <c r="T85" s="2"/>
      <c r="U85" s="2"/>
      <c r="V85" s="2"/>
      <c r="W85" s="2"/>
      <c r="X85" s="2"/>
      <c r="Y85" s="2"/>
      <c r="Z85" s="2"/>
    </row>
    <row r="86" ht="15.75" customHeight="1">
      <c r="A86" s="1"/>
      <c r="B86" s="1"/>
      <c r="C86" s="1"/>
      <c r="D86" s="1"/>
      <c r="E86" s="2"/>
      <c r="F86" s="2"/>
      <c r="G86" s="2"/>
      <c r="H86" s="2"/>
      <c r="I86" s="2"/>
      <c r="J86" s="2"/>
      <c r="K86" s="2"/>
      <c r="L86" s="2"/>
      <c r="M86" s="2"/>
      <c r="N86" s="2"/>
      <c r="O86" s="2"/>
      <c r="P86" s="2"/>
      <c r="Q86" s="2"/>
      <c r="R86" s="2"/>
      <c r="S86" s="2"/>
      <c r="T86" s="2"/>
      <c r="U86" s="2"/>
      <c r="V86" s="2"/>
      <c r="W86" s="2"/>
      <c r="X86" s="2"/>
      <c r="Y86" s="2"/>
      <c r="Z86" s="2"/>
    </row>
    <row r="87" ht="15.75" customHeight="1">
      <c r="A87" s="1"/>
      <c r="B87" s="1"/>
      <c r="C87" s="1"/>
      <c r="D87" s="1"/>
      <c r="E87" s="2"/>
      <c r="F87" s="2"/>
      <c r="G87" s="2"/>
      <c r="H87" s="2"/>
      <c r="I87" s="2"/>
      <c r="J87" s="2"/>
      <c r="K87" s="2"/>
      <c r="L87" s="2"/>
      <c r="M87" s="2"/>
      <c r="N87" s="2"/>
      <c r="O87" s="2"/>
      <c r="P87" s="2"/>
      <c r="Q87" s="2"/>
      <c r="R87" s="2"/>
      <c r="S87" s="2"/>
      <c r="T87" s="2"/>
      <c r="U87" s="2"/>
      <c r="V87" s="2"/>
      <c r="W87" s="2"/>
      <c r="X87" s="2"/>
      <c r="Y87" s="2"/>
      <c r="Z87" s="2"/>
    </row>
    <row r="88" ht="15.75" customHeight="1">
      <c r="A88" s="1"/>
      <c r="B88" s="1"/>
      <c r="C88" s="1"/>
      <c r="D88" s="1"/>
      <c r="E88" s="2"/>
      <c r="F88" s="2"/>
      <c r="G88" s="2"/>
      <c r="H88" s="2"/>
      <c r="I88" s="2"/>
      <c r="J88" s="2"/>
      <c r="K88" s="2"/>
      <c r="L88" s="2"/>
      <c r="M88" s="2"/>
      <c r="N88" s="2"/>
      <c r="O88" s="2"/>
      <c r="P88" s="2"/>
      <c r="Q88" s="2"/>
      <c r="R88" s="2"/>
      <c r="S88" s="2"/>
      <c r="T88" s="2"/>
      <c r="U88" s="2"/>
      <c r="V88" s="2"/>
      <c r="W88" s="2"/>
      <c r="X88" s="2"/>
      <c r="Y88" s="2"/>
      <c r="Z88" s="2"/>
    </row>
    <row r="89" ht="15.75" customHeight="1">
      <c r="A89" s="1"/>
      <c r="B89" s="1"/>
      <c r="C89" s="1"/>
      <c r="D89" s="1"/>
      <c r="E89" s="2"/>
      <c r="F89" s="2"/>
      <c r="G89" s="2"/>
      <c r="H89" s="2"/>
      <c r="I89" s="2"/>
      <c r="J89" s="2"/>
      <c r="K89" s="2"/>
      <c r="L89" s="2"/>
      <c r="M89" s="2"/>
      <c r="N89" s="2"/>
      <c r="O89" s="2"/>
      <c r="P89" s="2"/>
      <c r="Q89" s="2"/>
      <c r="R89" s="2"/>
      <c r="S89" s="2"/>
      <c r="T89" s="2"/>
      <c r="U89" s="2"/>
      <c r="V89" s="2"/>
      <c r="W89" s="2"/>
      <c r="X89" s="2"/>
      <c r="Y89" s="2"/>
      <c r="Z89" s="2"/>
    </row>
    <row r="90" ht="15.75" customHeight="1">
      <c r="A90" s="1"/>
      <c r="B90" s="1"/>
      <c r="C90" s="1"/>
      <c r="D90" s="1"/>
      <c r="E90" s="2"/>
      <c r="F90" s="2"/>
      <c r="G90" s="2"/>
      <c r="H90" s="2"/>
      <c r="I90" s="2"/>
      <c r="J90" s="2"/>
      <c r="K90" s="2"/>
      <c r="L90" s="2"/>
      <c r="M90" s="2"/>
      <c r="N90" s="2"/>
      <c r="O90" s="2"/>
      <c r="P90" s="2"/>
      <c r="Q90" s="2"/>
      <c r="R90" s="2"/>
      <c r="S90" s="2"/>
      <c r="T90" s="2"/>
      <c r="U90" s="2"/>
      <c r="V90" s="2"/>
      <c r="W90" s="2"/>
      <c r="X90" s="2"/>
      <c r="Y90" s="2"/>
      <c r="Z90" s="2"/>
    </row>
    <row r="91" ht="15.75" customHeight="1">
      <c r="A91" s="1"/>
      <c r="B91" s="1"/>
      <c r="C91" s="1"/>
      <c r="D91" s="1"/>
      <c r="E91" s="2"/>
      <c r="F91" s="2"/>
      <c r="G91" s="2"/>
      <c r="H91" s="2"/>
      <c r="I91" s="2"/>
      <c r="J91" s="2"/>
      <c r="K91" s="2"/>
      <c r="L91" s="2"/>
      <c r="M91" s="2"/>
      <c r="N91" s="2"/>
      <c r="O91" s="2"/>
      <c r="P91" s="2"/>
      <c r="Q91" s="2"/>
      <c r="R91" s="2"/>
      <c r="S91" s="2"/>
      <c r="T91" s="2"/>
      <c r="U91" s="2"/>
      <c r="V91" s="2"/>
      <c r="W91" s="2"/>
      <c r="X91" s="2"/>
      <c r="Y91" s="2"/>
      <c r="Z91" s="2"/>
    </row>
    <row r="92" ht="15.75" customHeight="1">
      <c r="A92" s="1"/>
      <c r="B92" s="1"/>
      <c r="C92" s="1"/>
      <c r="D92" s="1"/>
      <c r="E92" s="2"/>
      <c r="F92" s="2"/>
      <c r="G92" s="2"/>
      <c r="H92" s="2"/>
      <c r="I92" s="2"/>
      <c r="J92" s="2"/>
      <c r="K92" s="2"/>
      <c r="L92" s="2"/>
      <c r="M92" s="2"/>
      <c r="N92" s="2"/>
      <c r="O92" s="2"/>
      <c r="P92" s="2"/>
      <c r="Q92" s="2"/>
      <c r="R92" s="2"/>
      <c r="S92" s="2"/>
      <c r="T92" s="2"/>
      <c r="U92" s="2"/>
      <c r="V92" s="2"/>
      <c r="W92" s="2"/>
      <c r="X92" s="2"/>
      <c r="Y92" s="2"/>
      <c r="Z92" s="2"/>
    </row>
    <row r="93" ht="15.75" customHeight="1">
      <c r="A93" s="1"/>
      <c r="B93" s="1"/>
      <c r="C93" s="1"/>
      <c r="D93" s="1"/>
      <c r="E93" s="2"/>
      <c r="F93" s="2"/>
      <c r="G93" s="2"/>
      <c r="H93" s="2"/>
      <c r="I93" s="2"/>
      <c r="J93" s="2"/>
      <c r="K93" s="2"/>
      <c r="L93" s="2"/>
      <c r="M93" s="2"/>
      <c r="N93" s="2"/>
      <c r="O93" s="2"/>
      <c r="P93" s="2"/>
      <c r="Q93" s="2"/>
      <c r="R93" s="2"/>
      <c r="S93" s="2"/>
      <c r="T93" s="2"/>
      <c r="U93" s="2"/>
      <c r="V93" s="2"/>
      <c r="W93" s="2"/>
      <c r="X93" s="2"/>
      <c r="Y93" s="2"/>
      <c r="Z93" s="2"/>
    </row>
    <row r="94" ht="15.75" customHeight="1">
      <c r="A94" s="1"/>
      <c r="B94" s="1"/>
      <c r="C94" s="1"/>
      <c r="D94" s="1"/>
      <c r="E94" s="2"/>
      <c r="F94" s="2"/>
      <c r="G94" s="2"/>
      <c r="H94" s="2"/>
      <c r="I94" s="2"/>
      <c r="J94" s="2"/>
      <c r="K94" s="2"/>
      <c r="L94" s="2"/>
      <c r="M94" s="2"/>
      <c r="N94" s="2"/>
      <c r="O94" s="2"/>
      <c r="P94" s="2"/>
      <c r="Q94" s="2"/>
      <c r="R94" s="2"/>
      <c r="S94" s="2"/>
      <c r="T94" s="2"/>
      <c r="U94" s="2"/>
      <c r="V94" s="2"/>
      <c r="W94" s="2"/>
      <c r="X94" s="2"/>
      <c r="Y94" s="2"/>
      <c r="Z94" s="2"/>
    </row>
    <row r="95" ht="15.75" customHeight="1">
      <c r="A95" s="1"/>
      <c r="B95" s="1"/>
      <c r="C95" s="1"/>
      <c r="D95" s="1"/>
      <c r="E95" s="2"/>
      <c r="F95" s="2"/>
      <c r="G95" s="2"/>
      <c r="H95" s="2"/>
      <c r="I95" s="2"/>
      <c r="J95" s="2"/>
      <c r="K95" s="2"/>
      <c r="L95" s="2"/>
      <c r="M95" s="2"/>
      <c r="N95" s="2"/>
      <c r="O95" s="2"/>
      <c r="P95" s="2"/>
      <c r="Q95" s="2"/>
      <c r="R95" s="2"/>
      <c r="S95" s="2"/>
      <c r="T95" s="2"/>
      <c r="U95" s="2"/>
      <c r="V95" s="2"/>
      <c r="W95" s="2"/>
      <c r="X95" s="2"/>
      <c r="Y95" s="2"/>
      <c r="Z95" s="2"/>
    </row>
    <row r="96" ht="15.75" customHeight="1">
      <c r="A96" s="1"/>
      <c r="B96" s="1"/>
      <c r="C96" s="1"/>
      <c r="D96" s="1"/>
      <c r="E96" s="2"/>
      <c r="F96" s="2"/>
      <c r="G96" s="2"/>
      <c r="H96" s="2"/>
      <c r="I96" s="2"/>
      <c r="J96" s="2"/>
      <c r="K96" s="2"/>
      <c r="L96" s="2"/>
      <c r="M96" s="2"/>
      <c r="N96" s="2"/>
      <c r="O96" s="2"/>
      <c r="P96" s="2"/>
      <c r="Q96" s="2"/>
      <c r="R96" s="2"/>
      <c r="S96" s="2"/>
      <c r="T96" s="2"/>
      <c r="U96" s="2"/>
      <c r="V96" s="2"/>
      <c r="W96" s="2"/>
      <c r="X96" s="2"/>
      <c r="Y96" s="2"/>
      <c r="Z96" s="2"/>
    </row>
    <row r="97" ht="15.75" customHeight="1">
      <c r="A97" s="1"/>
      <c r="B97" s="1"/>
      <c r="C97" s="1"/>
      <c r="D97" s="1"/>
      <c r="E97" s="2"/>
      <c r="F97" s="2"/>
      <c r="G97" s="2"/>
      <c r="H97" s="2"/>
      <c r="I97" s="2"/>
      <c r="J97" s="2"/>
      <c r="K97" s="2"/>
      <c r="L97" s="2"/>
      <c r="M97" s="2"/>
      <c r="N97" s="2"/>
      <c r="O97" s="2"/>
      <c r="P97" s="2"/>
      <c r="Q97" s="2"/>
      <c r="R97" s="2"/>
      <c r="S97" s="2"/>
      <c r="T97" s="2"/>
      <c r="U97" s="2"/>
      <c r="V97" s="2"/>
      <c r="W97" s="2"/>
      <c r="X97" s="2"/>
      <c r="Y97" s="2"/>
      <c r="Z97" s="2"/>
    </row>
    <row r="98" ht="15.75" customHeight="1">
      <c r="A98" s="1"/>
      <c r="B98" s="1"/>
      <c r="C98" s="1"/>
      <c r="D98" s="1"/>
      <c r="E98" s="2"/>
      <c r="F98" s="2"/>
      <c r="G98" s="2"/>
      <c r="H98" s="2"/>
      <c r="I98" s="2"/>
      <c r="J98" s="2"/>
      <c r="K98" s="2"/>
      <c r="L98" s="2"/>
      <c r="M98" s="2"/>
      <c r="N98" s="2"/>
      <c r="O98" s="2"/>
      <c r="P98" s="2"/>
      <c r="Q98" s="2"/>
      <c r="R98" s="2"/>
      <c r="S98" s="2"/>
      <c r="T98" s="2"/>
      <c r="U98" s="2"/>
      <c r="V98" s="2"/>
      <c r="W98" s="2"/>
      <c r="X98" s="2"/>
      <c r="Y98" s="2"/>
      <c r="Z98" s="2"/>
    </row>
    <row r="99" ht="15.75" customHeight="1">
      <c r="A99" s="1"/>
      <c r="B99" s="1"/>
      <c r="C99" s="1"/>
      <c r="D99" s="1"/>
      <c r="E99" s="2"/>
      <c r="F99" s="2"/>
      <c r="G99" s="2"/>
      <c r="H99" s="2"/>
      <c r="I99" s="2"/>
      <c r="J99" s="2"/>
      <c r="K99" s="2"/>
      <c r="L99" s="2"/>
      <c r="M99" s="2"/>
      <c r="N99" s="2"/>
      <c r="O99" s="2"/>
      <c r="P99" s="2"/>
      <c r="Q99" s="2"/>
      <c r="R99" s="2"/>
      <c r="S99" s="2"/>
      <c r="T99" s="2"/>
      <c r="U99" s="2"/>
      <c r="V99" s="2"/>
      <c r="W99" s="2"/>
      <c r="X99" s="2"/>
      <c r="Y99" s="2"/>
      <c r="Z99" s="2"/>
    </row>
    <row r="100" ht="15.75" customHeight="1">
      <c r="A100" s="1"/>
      <c r="B100" s="1"/>
      <c r="C100" s="1"/>
      <c r="D100" s="1"/>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1"/>
      <c r="B101" s="1"/>
      <c r="C101" s="1"/>
      <c r="D101" s="1"/>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1"/>
      <c r="B102" s="1"/>
      <c r="C102" s="1"/>
      <c r="D102" s="1"/>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1"/>
      <c r="B103" s="1"/>
      <c r="C103" s="1"/>
      <c r="D103" s="1"/>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1"/>
      <c r="B104" s="1"/>
      <c r="C104" s="1"/>
      <c r="D104" s="1"/>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1"/>
      <c r="B105" s="1"/>
      <c r="C105" s="1"/>
      <c r="D105" s="1"/>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1"/>
      <c r="B106" s="1"/>
      <c r="C106" s="1"/>
      <c r="D106" s="1"/>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1"/>
      <c r="B107" s="1"/>
      <c r="C107" s="1"/>
      <c r="D107" s="1"/>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1"/>
      <c r="B108" s="1"/>
      <c r="C108" s="1"/>
      <c r="D108" s="1"/>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1"/>
      <c r="B109" s="1"/>
      <c r="C109" s="1"/>
      <c r="D109" s="1"/>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1"/>
      <c r="B110" s="1"/>
      <c r="C110" s="1"/>
      <c r="D110" s="1"/>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1"/>
      <c r="B111" s="1"/>
      <c r="C111" s="1"/>
      <c r="D111" s="1"/>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1"/>
      <c r="B112" s="1"/>
      <c r="C112" s="1"/>
      <c r="D112" s="1"/>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1"/>
      <c r="B113" s="1"/>
      <c r="C113" s="1"/>
      <c r="D113" s="1"/>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1"/>
      <c r="B114" s="1"/>
      <c r="C114" s="1"/>
      <c r="D114" s="1"/>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1"/>
      <c r="B115" s="1"/>
      <c r="C115" s="1"/>
      <c r="D115" s="1"/>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1"/>
      <c r="B116" s="1"/>
      <c r="C116" s="1"/>
      <c r="D116" s="1"/>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1"/>
      <c r="B117" s="1"/>
      <c r="C117" s="1"/>
      <c r="D117" s="1"/>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1"/>
      <c r="B118" s="1"/>
      <c r="C118" s="1"/>
      <c r="D118" s="1"/>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1"/>
      <c r="B119" s="1"/>
      <c r="C119" s="1"/>
      <c r="D119" s="1"/>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1"/>
      <c r="B120" s="1"/>
      <c r="C120" s="1"/>
      <c r="D120" s="1"/>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1"/>
      <c r="B121" s="1"/>
      <c r="C121" s="1"/>
      <c r="D121" s="1"/>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1"/>
      <c r="B122" s="1"/>
      <c r="C122" s="1"/>
      <c r="D122" s="1"/>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1"/>
      <c r="B123" s="1"/>
      <c r="C123" s="1"/>
      <c r="D123" s="1"/>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1"/>
      <c r="B124" s="1"/>
      <c r="C124" s="1"/>
      <c r="D124" s="1"/>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1"/>
      <c r="B125" s="1"/>
      <c r="C125" s="1"/>
      <c r="D125" s="1"/>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1"/>
      <c r="B126" s="1"/>
      <c r="C126" s="1"/>
      <c r="D126" s="1"/>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1"/>
      <c r="B127" s="1"/>
      <c r="C127" s="1"/>
      <c r="D127" s="1"/>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1"/>
      <c r="B128" s="1"/>
      <c r="C128" s="1"/>
      <c r="D128" s="1"/>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1"/>
      <c r="B129" s="1"/>
      <c r="C129" s="1"/>
      <c r="D129" s="1"/>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1"/>
      <c r="B130" s="1"/>
      <c r="C130" s="1"/>
      <c r="D130" s="1"/>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1"/>
      <c r="B131" s="1"/>
      <c r="C131" s="1"/>
      <c r="D131" s="1"/>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1"/>
      <c r="B132" s="1"/>
      <c r="C132" s="1"/>
      <c r="D132" s="1"/>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1"/>
      <c r="B133" s="1"/>
      <c r="C133" s="1"/>
      <c r="D133" s="1"/>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1"/>
      <c r="B134" s="1"/>
      <c r="C134" s="1"/>
      <c r="D134" s="1"/>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1"/>
      <c r="B135" s="1"/>
      <c r="C135" s="1"/>
      <c r="D135" s="1"/>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1"/>
      <c r="B136" s="1"/>
      <c r="C136" s="1"/>
      <c r="D136" s="1"/>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1"/>
      <c r="B137" s="1"/>
      <c r="C137" s="1"/>
      <c r="D137" s="1"/>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1"/>
      <c r="B138" s="1"/>
      <c r="C138" s="1"/>
      <c r="D138" s="1"/>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1"/>
      <c r="B139" s="1"/>
      <c r="C139" s="1"/>
      <c r="D139" s="1"/>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1"/>
      <c r="B140" s="1"/>
      <c r="C140" s="1"/>
      <c r="D140" s="1"/>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1"/>
      <c r="B141" s="1"/>
      <c r="C141" s="1"/>
      <c r="D141" s="1"/>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1"/>
      <c r="B142" s="1"/>
      <c r="C142" s="1"/>
      <c r="D142" s="1"/>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1"/>
      <c r="B143" s="1"/>
      <c r="C143" s="1"/>
      <c r="D143" s="1"/>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1"/>
      <c r="B144" s="1"/>
      <c r="C144" s="1"/>
      <c r="D144" s="1"/>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1"/>
      <c r="B145" s="1"/>
      <c r="C145" s="1"/>
      <c r="D145" s="1"/>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1"/>
      <c r="B146" s="1"/>
      <c r="C146" s="1"/>
      <c r="D146" s="1"/>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1"/>
      <c r="B147" s="1"/>
      <c r="C147" s="1"/>
      <c r="D147" s="1"/>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1"/>
      <c r="B148" s="1"/>
      <c r="C148" s="1"/>
      <c r="D148" s="1"/>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1"/>
      <c r="B149" s="1"/>
      <c r="C149" s="1"/>
      <c r="D149" s="1"/>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1"/>
      <c r="B150" s="1"/>
      <c r="C150" s="1"/>
      <c r="D150" s="1"/>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1"/>
      <c r="B151" s="1"/>
      <c r="C151" s="1"/>
      <c r="D151" s="1"/>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1"/>
      <c r="B152" s="1"/>
      <c r="C152" s="1"/>
      <c r="D152" s="1"/>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1"/>
      <c r="B153" s="1"/>
      <c r="C153" s="1"/>
      <c r="D153" s="1"/>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1"/>
      <c r="B154" s="1"/>
      <c r="C154" s="1"/>
      <c r="D154" s="1"/>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1"/>
      <c r="B155" s="1"/>
      <c r="C155" s="1"/>
      <c r="D155" s="1"/>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1"/>
      <c r="B156" s="1"/>
      <c r="C156" s="1"/>
      <c r="D156" s="1"/>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1"/>
      <c r="B157" s="1"/>
      <c r="C157" s="1"/>
      <c r="D157" s="1"/>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1"/>
      <c r="B158" s="1"/>
      <c r="C158" s="1"/>
      <c r="D158" s="1"/>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1"/>
      <c r="B159" s="1"/>
      <c r="C159" s="1"/>
      <c r="D159" s="1"/>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1"/>
      <c r="B160" s="1"/>
      <c r="C160" s="1"/>
      <c r="D160" s="1"/>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1"/>
      <c r="B161" s="1"/>
      <c r="C161" s="1"/>
      <c r="D161" s="1"/>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1"/>
      <c r="B162" s="1"/>
      <c r="C162" s="1"/>
      <c r="D162" s="1"/>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1"/>
      <c r="B163" s="1"/>
      <c r="C163" s="1"/>
      <c r="D163" s="1"/>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1"/>
      <c r="B164" s="1"/>
      <c r="C164" s="1"/>
      <c r="D164" s="1"/>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1"/>
      <c r="B165" s="1"/>
      <c r="C165" s="1"/>
      <c r="D165" s="1"/>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1"/>
      <c r="B166" s="1"/>
      <c r="C166" s="1"/>
      <c r="D166" s="1"/>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1"/>
      <c r="B167" s="1"/>
      <c r="C167" s="1"/>
      <c r="D167" s="1"/>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1"/>
      <c r="B168" s="1"/>
      <c r="C168" s="1"/>
      <c r="D168" s="1"/>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1"/>
      <c r="B169" s="1"/>
      <c r="C169" s="1"/>
      <c r="D169" s="1"/>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1"/>
      <c r="B170" s="1"/>
      <c r="C170" s="1"/>
      <c r="D170" s="1"/>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1"/>
      <c r="B171" s="1"/>
      <c r="C171" s="1"/>
      <c r="D171" s="1"/>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1"/>
      <c r="B172" s="1"/>
      <c r="C172" s="1"/>
      <c r="D172" s="1"/>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1"/>
      <c r="B173" s="1"/>
      <c r="C173" s="1"/>
      <c r="D173" s="1"/>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1"/>
      <c r="B174" s="1"/>
      <c r="C174" s="1"/>
      <c r="D174" s="1"/>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1"/>
      <c r="B175" s="1"/>
      <c r="C175" s="1"/>
      <c r="D175" s="1"/>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1"/>
      <c r="B176" s="1"/>
      <c r="C176" s="1"/>
      <c r="D176" s="1"/>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1"/>
      <c r="B177" s="1"/>
      <c r="C177" s="1"/>
      <c r="D177" s="1"/>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1"/>
      <c r="B178" s="1"/>
      <c r="C178" s="1"/>
      <c r="D178" s="1"/>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1"/>
      <c r="B179" s="1"/>
      <c r="C179" s="1"/>
      <c r="D179" s="1"/>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1"/>
      <c r="B180" s="1"/>
      <c r="C180" s="1"/>
      <c r="D180" s="1"/>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1"/>
      <c r="B181" s="1"/>
      <c r="C181" s="1"/>
      <c r="D181" s="1"/>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1"/>
      <c r="B182" s="1"/>
      <c r="C182" s="1"/>
      <c r="D182" s="1"/>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1"/>
      <c r="B183" s="1"/>
      <c r="C183" s="1"/>
      <c r="D183" s="1"/>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1"/>
      <c r="B184" s="1"/>
      <c r="C184" s="1"/>
      <c r="D184" s="1"/>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1"/>
      <c r="B185" s="1"/>
      <c r="C185" s="1"/>
      <c r="D185" s="1"/>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1"/>
      <c r="B186" s="1"/>
      <c r="C186" s="1"/>
      <c r="D186" s="1"/>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1"/>
      <c r="B187" s="1"/>
      <c r="C187" s="1"/>
      <c r="D187" s="1"/>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1"/>
      <c r="B188" s="1"/>
      <c r="C188" s="1"/>
      <c r="D188" s="1"/>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1"/>
      <c r="B189" s="1"/>
      <c r="C189" s="1"/>
      <c r="D189" s="1"/>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1"/>
      <c r="B190" s="1"/>
      <c r="C190" s="1"/>
      <c r="D190" s="1"/>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1"/>
      <c r="B191" s="1"/>
      <c r="C191" s="1"/>
      <c r="D191" s="1"/>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1"/>
      <c r="B192" s="1"/>
      <c r="C192" s="1"/>
      <c r="D192" s="1"/>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1"/>
      <c r="B193" s="1"/>
      <c r="C193" s="1"/>
      <c r="D193" s="1"/>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1"/>
      <c r="B194" s="1"/>
      <c r="C194" s="1"/>
      <c r="D194" s="1"/>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1"/>
      <c r="B195" s="1"/>
      <c r="C195" s="1"/>
      <c r="D195" s="1"/>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1"/>
      <c r="B196" s="1"/>
      <c r="C196" s="1"/>
      <c r="D196" s="1"/>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1"/>
      <c r="B197" s="1"/>
      <c r="C197" s="1"/>
      <c r="D197" s="1"/>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1"/>
      <c r="B198" s="1"/>
      <c r="C198" s="1"/>
      <c r="D198" s="1"/>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1"/>
      <c r="B199" s="1"/>
      <c r="C199" s="1"/>
      <c r="D199" s="1"/>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1"/>
      <c r="B200" s="1"/>
      <c r="C200" s="1"/>
      <c r="D200" s="1"/>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1"/>
      <c r="B201" s="1"/>
      <c r="C201" s="1"/>
      <c r="D201" s="1"/>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1"/>
      <c r="B202" s="1"/>
      <c r="C202" s="1"/>
      <c r="D202" s="1"/>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1"/>
      <c r="B203" s="1"/>
      <c r="C203" s="1"/>
      <c r="D203" s="1"/>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1"/>
      <c r="B204" s="1"/>
      <c r="C204" s="1"/>
      <c r="D204" s="1"/>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1"/>
      <c r="B205" s="1"/>
      <c r="C205" s="1"/>
      <c r="D205" s="1"/>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1"/>
      <c r="B206" s="1"/>
      <c r="C206" s="1"/>
      <c r="D206" s="1"/>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1"/>
      <c r="B207" s="1"/>
      <c r="C207" s="1"/>
      <c r="D207" s="1"/>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1"/>
      <c r="B208" s="1"/>
      <c r="C208" s="1"/>
      <c r="D208" s="1"/>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1"/>
      <c r="B209" s="1"/>
      <c r="C209" s="1"/>
      <c r="D209" s="1"/>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1"/>
      <c r="B210" s="1"/>
      <c r="C210" s="1"/>
      <c r="D210" s="1"/>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1"/>
      <c r="B211" s="1"/>
      <c r="C211" s="1"/>
      <c r="D211" s="1"/>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1"/>
      <c r="B212" s="1"/>
      <c r="C212" s="1"/>
      <c r="D212" s="1"/>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1"/>
      <c r="B213" s="1"/>
      <c r="C213" s="1"/>
      <c r="D213" s="1"/>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1"/>
      <c r="B214" s="1"/>
      <c r="C214" s="1"/>
      <c r="D214" s="1"/>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1"/>
      <c r="B215" s="1"/>
      <c r="C215" s="1"/>
      <c r="D215" s="1"/>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1"/>
      <c r="B216" s="1"/>
      <c r="C216" s="1"/>
      <c r="D216" s="1"/>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1"/>
      <c r="B217" s="1"/>
      <c r="C217" s="1"/>
      <c r="D217" s="1"/>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1"/>
      <c r="B218" s="1"/>
      <c r="C218" s="1"/>
      <c r="D218" s="1"/>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1"/>
      <c r="B219" s="1"/>
      <c r="C219" s="1"/>
      <c r="D219" s="1"/>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1"/>
      <c r="B220" s="1"/>
      <c r="C220" s="1"/>
      <c r="D220" s="1"/>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1"/>
      <c r="B221" s="1"/>
      <c r="C221" s="1"/>
      <c r="D221" s="1"/>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1"/>
      <c r="B222" s="1"/>
      <c r="C222" s="1"/>
      <c r="D222" s="1"/>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1"/>
      <c r="B223" s="1"/>
      <c r="C223" s="1"/>
      <c r="D223" s="1"/>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1"/>
      <c r="B224" s="1"/>
      <c r="C224" s="1"/>
      <c r="D224" s="1"/>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1"/>
      <c r="B225" s="1"/>
      <c r="C225" s="1"/>
      <c r="D225" s="1"/>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1"/>
      <c r="B226" s="1"/>
      <c r="C226" s="1"/>
      <c r="D226" s="1"/>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1"/>
      <c r="B227" s="1"/>
      <c r="C227" s="1"/>
      <c r="D227" s="1"/>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1"/>
      <c r="B228" s="1"/>
      <c r="C228" s="1"/>
      <c r="D228" s="1"/>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1"/>
      <c r="B229" s="1"/>
      <c r="C229" s="1"/>
      <c r="D229" s="1"/>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1"/>
      <c r="B230" s="1"/>
      <c r="C230" s="1"/>
      <c r="D230" s="1"/>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1"/>
      <c r="B231" s="1"/>
      <c r="C231" s="1"/>
      <c r="D231" s="1"/>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1"/>
      <c r="B232" s="1"/>
      <c r="C232" s="1"/>
      <c r="D232" s="1"/>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1"/>
      <c r="B233" s="1"/>
      <c r="C233" s="1"/>
      <c r="D233" s="1"/>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1"/>
      <c r="B234" s="1"/>
      <c r="C234" s="1"/>
      <c r="D234" s="1"/>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1"/>
      <c r="B235" s="1"/>
      <c r="C235" s="1"/>
      <c r="D235" s="1"/>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1"/>
      <c r="B236" s="1"/>
      <c r="C236" s="1"/>
      <c r="D236" s="1"/>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1"/>
      <c r="B237" s="1"/>
      <c r="C237" s="1"/>
      <c r="D237" s="1"/>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1"/>
      <c r="B238" s="1"/>
      <c r="C238" s="1"/>
      <c r="D238" s="1"/>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1"/>
      <c r="B239" s="1"/>
      <c r="C239" s="1"/>
      <c r="D239" s="1"/>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1"/>
      <c r="B240" s="1"/>
      <c r="C240" s="1"/>
      <c r="D240" s="1"/>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1"/>
      <c r="B241" s="1"/>
      <c r="C241" s="1"/>
      <c r="D241" s="1"/>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1"/>
      <c r="B242" s="1"/>
      <c r="C242" s="1"/>
      <c r="D242" s="1"/>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0">
    <mergeCell ref="A30:D30"/>
    <mergeCell ref="A38:D38"/>
    <mergeCell ref="A42:D42"/>
    <mergeCell ref="A1:D1"/>
    <mergeCell ref="A2:D2"/>
    <mergeCell ref="A4:D4"/>
    <mergeCell ref="A11:D11"/>
    <mergeCell ref="A18:D18"/>
    <mergeCell ref="A20:D20"/>
    <mergeCell ref="A28:D28"/>
  </mergeCells>
  <conditionalFormatting sqref="B24">
    <cfRule type="cellIs" dxfId="1" priority="1" operator="greaterThan">
      <formula>0.5</formula>
    </cfRule>
  </conditionalFormatting>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C6B8A"/>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7.29"/>
    <col customWidth="1" min="2" max="5" width="15.0"/>
    <col customWidth="1" min="6" max="6" width="15.71"/>
  </cols>
  <sheetData>
    <row r="1" ht="21.75" customHeight="1">
      <c r="A1" s="9" t="s">
        <v>125</v>
      </c>
      <c r="B1" s="4"/>
      <c r="C1" s="4"/>
      <c r="D1" s="4"/>
      <c r="E1" s="4"/>
      <c r="F1" s="5"/>
      <c r="G1" s="2"/>
      <c r="H1" s="2"/>
      <c r="I1" s="2"/>
      <c r="J1" s="2"/>
      <c r="K1" s="2"/>
      <c r="L1" s="2"/>
      <c r="M1" s="2"/>
      <c r="N1" s="2"/>
      <c r="O1" s="2"/>
      <c r="P1" s="2"/>
      <c r="Q1" s="2"/>
      <c r="R1" s="2"/>
      <c r="S1" s="2"/>
      <c r="T1" s="2"/>
      <c r="U1" s="2"/>
      <c r="V1" s="2"/>
      <c r="W1" s="2"/>
      <c r="X1" s="2"/>
      <c r="Y1" s="2"/>
      <c r="Z1" s="2"/>
    </row>
    <row r="2" ht="15.0" customHeight="1">
      <c r="A2" s="10" t="s">
        <v>126</v>
      </c>
      <c r="G2" s="2"/>
      <c r="H2" s="2"/>
      <c r="I2" s="2"/>
      <c r="J2" s="2"/>
      <c r="K2" s="2"/>
      <c r="L2" s="2"/>
      <c r="M2" s="2"/>
      <c r="N2" s="2"/>
      <c r="O2" s="2"/>
      <c r="P2" s="2"/>
      <c r="Q2" s="2"/>
      <c r="R2" s="2"/>
      <c r="S2" s="2"/>
      <c r="T2" s="2"/>
      <c r="U2" s="2"/>
      <c r="V2" s="2"/>
      <c r="W2" s="2"/>
      <c r="X2" s="2"/>
      <c r="Y2" s="2"/>
      <c r="Z2" s="2"/>
    </row>
    <row r="3">
      <c r="A3" s="1"/>
      <c r="B3" s="1"/>
      <c r="C3" s="1"/>
      <c r="D3" s="1"/>
      <c r="E3" s="1"/>
      <c r="F3" s="1"/>
      <c r="G3" s="2"/>
      <c r="H3" s="2"/>
      <c r="I3" s="2"/>
      <c r="J3" s="2"/>
      <c r="K3" s="2"/>
      <c r="L3" s="2"/>
      <c r="M3" s="2"/>
      <c r="N3" s="2"/>
      <c r="O3" s="2"/>
      <c r="P3" s="2"/>
      <c r="Q3" s="2"/>
      <c r="R3" s="2"/>
      <c r="S3" s="2"/>
      <c r="T3" s="2"/>
      <c r="U3" s="2"/>
      <c r="V3" s="2"/>
      <c r="W3" s="2"/>
      <c r="X3" s="2"/>
      <c r="Y3" s="2"/>
      <c r="Z3" s="2"/>
    </row>
    <row r="4" ht="15.0" customHeight="1">
      <c r="A4" s="19" t="s">
        <v>127</v>
      </c>
      <c r="B4" s="27" t="s">
        <v>44</v>
      </c>
      <c r="C4" s="27" t="s">
        <v>46</v>
      </c>
      <c r="D4" s="27" t="s">
        <v>48</v>
      </c>
      <c r="E4" s="27" t="s">
        <v>50</v>
      </c>
      <c r="F4" s="27" t="s">
        <v>128</v>
      </c>
      <c r="G4" s="2"/>
      <c r="H4" s="2"/>
      <c r="I4" s="2"/>
      <c r="J4" s="2"/>
      <c r="K4" s="2"/>
      <c r="L4" s="2"/>
      <c r="M4" s="2"/>
      <c r="N4" s="2"/>
      <c r="O4" s="2"/>
      <c r="P4" s="2"/>
      <c r="Q4" s="2"/>
      <c r="R4" s="2"/>
      <c r="S4" s="2"/>
      <c r="T4" s="2"/>
      <c r="U4" s="2"/>
      <c r="V4" s="2"/>
      <c r="W4" s="2"/>
      <c r="X4" s="2"/>
      <c r="Y4" s="2"/>
      <c r="Z4" s="2"/>
    </row>
    <row r="5" ht="15.0" customHeight="1">
      <c r="A5" s="12" t="s">
        <v>129</v>
      </c>
      <c r="B5" s="17">
        <f>'Monthly Data'!F29</f>
        <v>396800</v>
      </c>
      <c r="C5" s="17">
        <f>'Monthly Data'!F17</f>
        <v>146200</v>
      </c>
      <c r="D5" s="17">
        <f>'Monthly Data'!F41</f>
        <v>53300</v>
      </c>
      <c r="E5" s="17">
        <f>'Monthly Data'!F5</f>
        <v>102000</v>
      </c>
      <c r="F5" s="34">
        <f t="shared" ref="F5:F7" si="1">SUM(B5:E5)</f>
        <v>698300</v>
      </c>
      <c r="G5" s="2"/>
      <c r="H5" s="2"/>
      <c r="I5" s="2"/>
      <c r="J5" s="2"/>
      <c r="K5" s="2"/>
      <c r="L5" s="2"/>
      <c r="M5" s="2"/>
      <c r="N5" s="2"/>
      <c r="O5" s="2"/>
      <c r="P5" s="2"/>
      <c r="Q5" s="2"/>
      <c r="R5" s="2"/>
      <c r="S5" s="2"/>
      <c r="T5" s="2"/>
      <c r="U5" s="2"/>
      <c r="V5" s="2"/>
      <c r="W5" s="2"/>
      <c r="X5" s="2"/>
      <c r="Y5" s="2"/>
      <c r="Z5" s="2"/>
    </row>
    <row r="6" ht="15.0" customHeight="1">
      <c r="A6" s="12" t="s">
        <v>130</v>
      </c>
      <c r="B6" s="49">
        <f>B5/SUM(B5:E5)</f>
        <v>0.5682371474</v>
      </c>
      <c r="C6" s="49">
        <f>C5/SUM(B5:E5)</f>
        <v>0.2093656022</v>
      </c>
      <c r="D6" s="49">
        <f>D5/SUM(B5:E5)</f>
        <v>0.07632822569</v>
      </c>
      <c r="E6" s="49">
        <f>E5/SUM(B5:E5)</f>
        <v>0.1460690248</v>
      </c>
      <c r="F6" s="50">
        <f t="shared" si="1"/>
        <v>1</v>
      </c>
      <c r="G6" s="2"/>
      <c r="H6" s="2"/>
      <c r="I6" s="2"/>
      <c r="J6" s="2"/>
      <c r="K6" s="2"/>
      <c r="L6" s="2"/>
      <c r="M6" s="2"/>
      <c r="N6" s="2"/>
      <c r="O6" s="2"/>
      <c r="P6" s="2"/>
      <c r="Q6" s="2"/>
      <c r="R6" s="2"/>
      <c r="S6" s="2"/>
      <c r="T6" s="2"/>
      <c r="U6" s="2"/>
      <c r="V6" s="2"/>
      <c r="W6" s="2"/>
      <c r="X6" s="2"/>
      <c r="Y6" s="2"/>
      <c r="Z6" s="2"/>
    </row>
    <row r="7" ht="15.0" customHeight="1">
      <c r="A7" s="12" t="s">
        <v>131</v>
      </c>
      <c r="B7" s="17">
        <f>'Monthly Data'!K29</f>
        <v>832000</v>
      </c>
      <c r="C7" s="17">
        <f>'Monthly Data'!K17</f>
        <v>559000</v>
      </c>
      <c r="D7" s="17">
        <f>'Monthly Data'!K41</f>
        <v>133250</v>
      </c>
      <c r="E7" s="17">
        <f>'Monthly Data'!K5</f>
        <v>390000</v>
      </c>
      <c r="F7" s="34">
        <f t="shared" si="1"/>
        <v>1914250</v>
      </c>
      <c r="G7" s="2"/>
      <c r="H7" s="2"/>
      <c r="I7" s="2"/>
      <c r="J7" s="2"/>
      <c r="K7" s="2"/>
      <c r="L7" s="2"/>
      <c r="M7" s="2"/>
      <c r="N7" s="2"/>
      <c r="O7" s="2"/>
      <c r="P7" s="2"/>
      <c r="Q7" s="2"/>
      <c r="R7" s="2"/>
      <c r="S7" s="2"/>
      <c r="T7" s="2"/>
      <c r="U7" s="2"/>
      <c r="V7" s="2"/>
      <c r="W7" s="2"/>
      <c r="X7" s="2"/>
      <c r="Y7" s="2"/>
      <c r="Z7" s="2"/>
    </row>
    <row r="8" ht="15.0" customHeight="1">
      <c r="A8" s="12" t="s">
        <v>132</v>
      </c>
      <c r="B8" s="49">
        <f>'Monthly Data'!L29</f>
        <v>0.4769230769</v>
      </c>
      <c r="C8" s="49">
        <f>'Monthly Data'!L17</f>
        <v>0.2615384615</v>
      </c>
      <c r="D8" s="49">
        <f>'Monthly Data'!L41</f>
        <v>0.4</v>
      </c>
      <c r="E8" s="49">
        <f>'Monthly Data'!L5</f>
        <v>0.2615384615</v>
      </c>
      <c r="F8" s="51">
        <f>F5/F7</f>
        <v>0.3647903879</v>
      </c>
      <c r="G8" s="2"/>
      <c r="H8" s="2"/>
      <c r="I8" s="2"/>
      <c r="J8" s="2"/>
      <c r="K8" s="2"/>
      <c r="L8" s="2"/>
      <c r="M8" s="2"/>
      <c r="N8" s="2"/>
      <c r="O8" s="2"/>
      <c r="P8" s="2"/>
      <c r="Q8" s="2"/>
      <c r="R8" s="2"/>
      <c r="S8" s="2"/>
      <c r="T8" s="2"/>
      <c r="U8" s="2"/>
      <c r="V8" s="2"/>
      <c r="W8" s="2"/>
      <c r="X8" s="2"/>
      <c r="Y8" s="2"/>
      <c r="Z8" s="2"/>
    </row>
    <row r="9" ht="15.0" customHeight="1">
      <c r="A9" s="12" t="s">
        <v>133</v>
      </c>
      <c r="B9" s="42">
        <f>'Monthly Data'!O29</f>
        <v>0.01800000281</v>
      </c>
      <c r="C9" s="42">
        <f>'Monthly Data'!O17</f>
        <v>0.05</v>
      </c>
      <c r="D9" s="42">
        <f>'Monthly Data'!O41</f>
        <v>0.01399995902</v>
      </c>
      <c r="E9" s="42">
        <f>'Monthly Data'!O5</f>
        <v>0.1299995667</v>
      </c>
      <c r="F9" s="52"/>
      <c r="G9" s="2"/>
      <c r="H9" s="2"/>
      <c r="I9" s="2"/>
      <c r="J9" s="2"/>
      <c r="K9" s="2"/>
      <c r="L9" s="2"/>
      <c r="M9" s="2"/>
      <c r="N9" s="2"/>
      <c r="O9" s="2"/>
      <c r="P9" s="2"/>
      <c r="Q9" s="2"/>
      <c r="R9" s="2"/>
      <c r="S9" s="2"/>
      <c r="T9" s="2"/>
      <c r="U9" s="2"/>
      <c r="V9" s="2"/>
      <c r="W9" s="2"/>
      <c r="X9" s="2"/>
      <c r="Y9" s="2"/>
      <c r="Z9" s="2"/>
    </row>
    <row r="10" ht="15.0" customHeight="1">
      <c r="A10" s="12" t="s">
        <v>134</v>
      </c>
      <c r="B10" s="31">
        <f>'Monthly Data'!J29</f>
        <v>31</v>
      </c>
      <c r="C10" s="31">
        <f>'Monthly Data'!J17</f>
        <v>17</v>
      </c>
      <c r="D10" s="31">
        <f>'Monthly Data'!J41</f>
        <v>26</v>
      </c>
      <c r="E10" s="31">
        <f>'Monthly Data'!J5</f>
        <v>17</v>
      </c>
      <c r="F10" s="53">
        <f>F5/F11</f>
        <v>23.71137521</v>
      </c>
      <c r="G10" s="2"/>
      <c r="H10" s="2"/>
      <c r="I10" s="2"/>
      <c r="J10" s="2"/>
      <c r="K10" s="2"/>
      <c r="L10" s="2"/>
      <c r="M10" s="2"/>
      <c r="N10" s="2"/>
      <c r="O10" s="2"/>
      <c r="P10" s="2"/>
      <c r="Q10" s="2"/>
      <c r="R10" s="2"/>
      <c r="S10" s="2"/>
      <c r="T10" s="2"/>
      <c r="U10" s="2"/>
      <c r="V10" s="2"/>
      <c r="W10" s="2"/>
      <c r="X10" s="2"/>
      <c r="Y10" s="2"/>
      <c r="Z10" s="2"/>
    </row>
    <row r="11" ht="15.0" customHeight="1">
      <c r="A11" s="54" t="s">
        <v>135</v>
      </c>
      <c r="B11" s="55">
        <f t="shared" ref="B11:E11" si="2">B5/B10</f>
        <v>12800</v>
      </c>
      <c r="C11" s="55">
        <f t="shared" si="2"/>
        <v>8600</v>
      </c>
      <c r="D11" s="55">
        <f t="shared" si="2"/>
        <v>2050</v>
      </c>
      <c r="E11" s="55">
        <f t="shared" si="2"/>
        <v>6000</v>
      </c>
      <c r="F11" s="56">
        <f>SUM(B11:E11)</f>
        <v>29450</v>
      </c>
      <c r="G11" s="2"/>
      <c r="H11" s="2"/>
      <c r="I11" s="2"/>
      <c r="J11" s="2"/>
      <c r="K11" s="2"/>
      <c r="L11" s="2"/>
      <c r="M11" s="2"/>
      <c r="N11" s="2"/>
      <c r="O11" s="2"/>
      <c r="P11" s="2"/>
      <c r="Q11" s="2"/>
      <c r="R11" s="2"/>
      <c r="S11" s="2"/>
      <c r="T11" s="2"/>
      <c r="U11" s="2"/>
      <c r="V11" s="2"/>
      <c r="W11" s="2"/>
      <c r="X11" s="2"/>
      <c r="Y11" s="2"/>
      <c r="Z11" s="2"/>
    </row>
    <row r="12" ht="15.0" customHeight="1">
      <c r="A12" s="12" t="s">
        <v>136</v>
      </c>
      <c r="B12" s="31">
        <f>'Monthly Data'!J18</f>
        <v>22</v>
      </c>
      <c r="C12" s="31">
        <f>'Monthly Data'!J6</f>
        <v>13</v>
      </c>
      <c r="D12" s="31">
        <f>'Monthly Data'!J30</f>
        <v>44</v>
      </c>
      <c r="E12" s="31">
        <f>'Monthly Data'!J2</f>
        <v>22</v>
      </c>
      <c r="F12" s="52"/>
      <c r="G12" s="2"/>
      <c r="H12" s="2"/>
      <c r="I12" s="2"/>
      <c r="J12" s="2"/>
      <c r="K12" s="2"/>
      <c r="L12" s="2"/>
      <c r="M12" s="2"/>
      <c r="N12" s="2"/>
      <c r="O12" s="2"/>
      <c r="P12" s="2"/>
      <c r="Q12" s="2"/>
      <c r="R12" s="2"/>
      <c r="S12" s="2"/>
      <c r="T12" s="2"/>
      <c r="U12" s="2"/>
      <c r="V12" s="2"/>
      <c r="W12" s="2"/>
      <c r="X12" s="2"/>
      <c r="Y12" s="2"/>
      <c r="Z12" s="2"/>
    </row>
    <row r="13" ht="15.0" customHeight="1">
      <c r="A13" s="12" t="s">
        <v>137</v>
      </c>
      <c r="B13" s="57">
        <f t="shared" ref="B13:E13" si="3">B10/B12-1</f>
        <v>0.4090909091</v>
      </c>
      <c r="C13" s="57">
        <f t="shared" si="3"/>
        <v>0.3076923077</v>
      </c>
      <c r="D13" s="57">
        <f t="shared" si="3"/>
        <v>-0.4090909091</v>
      </c>
      <c r="E13" s="57">
        <f t="shared" si="3"/>
        <v>-0.2272727273</v>
      </c>
      <c r="F13" s="52"/>
      <c r="G13" s="2"/>
      <c r="H13" s="2"/>
      <c r="I13" s="2"/>
      <c r="J13" s="2"/>
      <c r="K13" s="2"/>
      <c r="L13" s="2"/>
      <c r="M13" s="2"/>
      <c r="N13" s="2"/>
      <c r="O13" s="2"/>
      <c r="P13" s="2"/>
      <c r="Q13" s="2"/>
      <c r="R13" s="2"/>
      <c r="S13" s="2"/>
      <c r="T13" s="2"/>
      <c r="U13" s="2"/>
      <c r="V13" s="2"/>
      <c r="W13" s="2"/>
      <c r="X13" s="2"/>
      <c r="Y13" s="2"/>
      <c r="Z13" s="2"/>
    </row>
    <row r="14" ht="15.0" customHeight="1">
      <c r="A14" s="12" t="s">
        <v>138</v>
      </c>
      <c r="B14" s="13">
        <f>Assumptions!B8</f>
        <v>39</v>
      </c>
      <c r="C14" s="13">
        <f>Assumptions!B8</f>
        <v>39</v>
      </c>
      <c r="D14" s="13">
        <f>Assumptions!B8</f>
        <v>39</v>
      </c>
      <c r="E14" s="13">
        <f>Assumptions!B9</f>
        <v>29.25</v>
      </c>
      <c r="F14" s="52"/>
      <c r="G14" s="2"/>
      <c r="H14" s="2"/>
      <c r="I14" s="2"/>
      <c r="J14" s="2"/>
      <c r="K14" s="2"/>
      <c r="L14" s="2"/>
      <c r="M14" s="2"/>
      <c r="N14" s="2"/>
      <c r="O14" s="2"/>
      <c r="P14" s="2"/>
      <c r="Q14" s="2"/>
      <c r="R14" s="2"/>
      <c r="S14" s="2"/>
      <c r="T14" s="2"/>
      <c r="U14" s="2"/>
      <c r="V14" s="2"/>
      <c r="W14" s="2"/>
      <c r="X14" s="2"/>
      <c r="Y14" s="2"/>
      <c r="Z14" s="2"/>
    </row>
    <row r="15" ht="15.0" customHeight="1">
      <c r="A15" s="12" t="s">
        <v>139</v>
      </c>
      <c r="B15" s="31">
        <f t="shared" ref="B15:E15" si="4">B14-B10</f>
        <v>8</v>
      </c>
      <c r="C15" s="31">
        <f t="shared" si="4"/>
        <v>22</v>
      </c>
      <c r="D15" s="31">
        <f t="shared" si="4"/>
        <v>13</v>
      </c>
      <c r="E15" s="31">
        <f t="shared" si="4"/>
        <v>12.25</v>
      </c>
      <c r="F15" s="52"/>
      <c r="G15" s="2"/>
      <c r="H15" s="2"/>
      <c r="I15" s="2"/>
      <c r="J15" s="2"/>
      <c r="K15" s="2"/>
      <c r="L15" s="2"/>
      <c r="M15" s="2"/>
      <c r="N15" s="2"/>
      <c r="O15" s="2"/>
      <c r="P15" s="2"/>
      <c r="Q15" s="2"/>
      <c r="R15" s="2"/>
      <c r="S15" s="2"/>
      <c r="T15" s="2"/>
      <c r="U15" s="2"/>
      <c r="V15" s="2"/>
      <c r="W15" s="2"/>
      <c r="X15" s="2"/>
      <c r="Y15" s="2"/>
      <c r="Z15" s="2"/>
    </row>
    <row r="16" ht="15.0" customHeight="1">
      <c r="A16" s="12" t="s">
        <v>140</v>
      </c>
      <c r="B16" s="17">
        <f>B15*(B7/Assumptions!$B$5)</f>
        <v>102400</v>
      </c>
      <c r="C16" s="17">
        <f>C15*(C7/Assumptions!$B$5)</f>
        <v>189200</v>
      </c>
      <c r="D16" s="17">
        <f>D15*(D7/Assumptions!$B$5)</f>
        <v>26650</v>
      </c>
      <c r="E16" s="17">
        <f>E15*(E7/Assumptions!$B$5)</f>
        <v>73500</v>
      </c>
      <c r="F16" s="34">
        <f t="shared" ref="F16:F17" si="5">SUM(B16:E16)</f>
        <v>391750</v>
      </c>
      <c r="G16" s="2"/>
      <c r="H16" s="2"/>
      <c r="I16" s="2"/>
      <c r="J16" s="2"/>
      <c r="K16" s="2"/>
      <c r="L16" s="2"/>
      <c r="M16" s="2"/>
      <c r="N16" s="2"/>
      <c r="O16" s="2"/>
      <c r="P16" s="2"/>
      <c r="Q16" s="2"/>
      <c r="R16" s="2"/>
      <c r="S16" s="2"/>
      <c r="T16" s="2"/>
      <c r="U16" s="2"/>
      <c r="V16" s="2"/>
      <c r="W16" s="2"/>
      <c r="X16" s="2"/>
      <c r="Y16" s="2"/>
      <c r="Z16" s="2"/>
    </row>
    <row r="17" ht="15.0" customHeight="1">
      <c r="A17" s="12" t="s">
        <v>141</v>
      </c>
      <c r="B17" s="58">
        <f>B16/SUM(B16:E16)</f>
        <v>0.2613911934</v>
      </c>
      <c r="C17" s="58">
        <f>C16/SUM(B16:E16)</f>
        <v>0.4829610721</v>
      </c>
      <c r="D17" s="58">
        <f>D16/SUM(B16:E16)</f>
        <v>0.06802807913</v>
      </c>
      <c r="E17" s="58">
        <f>E16/SUM(B16:E16)</f>
        <v>0.1876196554</v>
      </c>
      <c r="F17" s="50">
        <f t="shared" si="5"/>
        <v>1</v>
      </c>
      <c r="G17" s="2"/>
      <c r="H17" s="2"/>
      <c r="I17" s="2"/>
      <c r="J17" s="2"/>
      <c r="K17" s="2"/>
      <c r="L17" s="2"/>
      <c r="M17" s="2"/>
      <c r="N17" s="2"/>
      <c r="O17" s="2"/>
      <c r="P17" s="2"/>
      <c r="Q17" s="2"/>
      <c r="R17" s="2"/>
      <c r="S17" s="2"/>
      <c r="T17" s="2"/>
      <c r="U17" s="2"/>
      <c r="V17" s="2"/>
      <c r="W17" s="2"/>
      <c r="X17" s="2"/>
      <c r="Y17" s="2"/>
      <c r="Z17" s="2"/>
    </row>
    <row r="18">
      <c r="A18" s="1"/>
      <c r="B18" s="1"/>
      <c r="C18" s="1"/>
      <c r="D18" s="1"/>
      <c r="E18" s="1"/>
      <c r="F18" s="1"/>
      <c r="G18" s="2"/>
      <c r="H18" s="2"/>
      <c r="I18" s="2"/>
      <c r="J18" s="2"/>
      <c r="K18" s="2"/>
      <c r="L18" s="2"/>
      <c r="M18" s="2"/>
      <c r="N18" s="2"/>
      <c r="O18" s="2"/>
      <c r="P18" s="2"/>
      <c r="Q18" s="2"/>
      <c r="R18" s="2"/>
      <c r="S18" s="2"/>
      <c r="T18" s="2"/>
      <c r="U18" s="2"/>
      <c r="V18" s="2"/>
      <c r="W18" s="2"/>
      <c r="X18" s="2"/>
      <c r="Y18" s="2"/>
      <c r="Z18" s="2"/>
    </row>
    <row r="19">
      <c r="A19" s="11" t="s">
        <v>142</v>
      </c>
      <c r="B19" s="4"/>
      <c r="C19" s="4"/>
      <c r="D19" s="4"/>
      <c r="E19" s="4"/>
      <c r="F19" s="5"/>
      <c r="G19" s="2"/>
      <c r="H19" s="2"/>
      <c r="I19" s="2"/>
      <c r="J19" s="2"/>
      <c r="K19" s="2"/>
      <c r="L19" s="2"/>
      <c r="M19" s="2"/>
      <c r="N19" s="2"/>
      <c r="O19" s="2"/>
      <c r="P19" s="2"/>
      <c r="Q19" s="2"/>
      <c r="R19" s="2"/>
      <c r="S19" s="2"/>
      <c r="T19" s="2"/>
      <c r="U19" s="2"/>
      <c r="V19" s="2"/>
      <c r="W19" s="2"/>
      <c r="X19" s="2"/>
      <c r="Y19" s="2"/>
      <c r="Z19" s="2"/>
    </row>
    <row r="20">
      <c r="A20" s="12" t="s">
        <v>143</v>
      </c>
      <c r="B20" s="17">
        <f>F5</f>
        <v>698300</v>
      </c>
      <c r="C20" s="1"/>
      <c r="D20" s="1"/>
      <c r="E20" s="1"/>
      <c r="F20" s="1"/>
      <c r="G20" s="2"/>
      <c r="H20" s="2"/>
      <c r="I20" s="2"/>
      <c r="J20" s="2"/>
      <c r="K20" s="2"/>
      <c r="L20" s="2"/>
      <c r="M20" s="2"/>
      <c r="N20" s="2"/>
      <c r="O20" s="2"/>
      <c r="P20" s="2"/>
      <c r="Q20" s="2"/>
      <c r="R20" s="2"/>
      <c r="S20" s="2"/>
      <c r="T20" s="2"/>
      <c r="U20" s="2"/>
      <c r="V20" s="2"/>
      <c r="W20" s="2"/>
      <c r="X20" s="2"/>
      <c r="Y20" s="2"/>
      <c r="Z20" s="2"/>
    </row>
    <row r="21" ht="15.75" customHeight="1">
      <c r="A21" s="1"/>
      <c r="B21" s="27" t="s">
        <v>44</v>
      </c>
      <c r="C21" s="27" t="s">
        <v>46</v>
      </c>
      <c r="D21" s="27" t="s">
        <v>48</v>
      </c>
      <c r="E21" s="27" t="s">
        <v>50</v>
      </c>
      <c r="F21" s="27" t="s">
        <v>128</v>
      </c>
      <c r="G21" s="2"/>
      <c r="H21" s="2"/>
      <c r="I21" s="2"/>
      <c r="J21" s="2"/>
      <c r="K21" s="2"/>
      <c r="L21" s="2"/>
      <c r="M21" s="2"/>
      <c r="N21" s="2"/>
      <c r="O21" s="2"/>
      <c r="P21" s="2"/>
      <c r="Q21" s="2"/>
      <c r="R21" s="2"/>
      <c r="S21" s="2"/>
      <c r="T21" s="2"/>
      <c r="U21" s="2"/>
      <c r="V21" s="2"/>
      <c r="W21" s="2"/>
      <c r="X21" s="2"/>
      <c r="Y21" s="2"/>
      <c r="Z21" s="2"/>
    </row>
    <row r="22" ht="15.75" customHeight="1">
      <c r="A22" s="12" t="s">
        <v>144</v>
      </c>
      <c r="B22" s="20">
        <v>0.2</v>
      </c>
      <c r="C22" s="20">
        <v>0.4</v>
      </c>
      <c r="D22" s="20">
        <v>0.12</v>
      </c>
      <c r="E22" s="20">
        <v>0.28</v>
      </c>
      <c r="F22" s="50">
        <f t="shared" ref="F22:F23" si="7">SUM(B22:E22)</f>
        <v>1</v>
      </c>
      <c r="G22" s="2"/>
      <c r="H22" s="2"/>
      <c r="I22" s="2"/>
      <c r="J22" s="2"/>
      <c r="K22" s="2"/>
      <c r="L22" s="2"/>
      <c r="M22" s="2"/>
      <c r="N22" s="2"/>
      <c r="O22" s="2"/>
      <c r="P22" s="2"/>
      <c r="Q22" s="2"/>
      <c r="R22" s="2"/>
      <c r="S22" s="2"/>
      <c r="T22" s="2"/>
      <c r="U22" s="2"/>
      <c r="V22" s="2"/>
      <c r="W22" s="2"/>
      <c r="X22" s="2"/>
      <c r="Y22" s="2"/>
      <c r="Z22" s="2"/>
    </row>
    <row r="23" ht="15.75" customHeight="1">
      <c r="A23" s="12" t="s">
        <v>72</v>
      </c>
      <c r="B23" s="17">
        <f t="shared" ref="B23:E23" si="6">B22*$B$20</f>
        <v>139660</v>
      </c>
      <c r="C23" s="17">
        <f t="shared" si="6"/>
        <v>279320</v>
      </c>
      <c r="D23" s="17">
        <f t="shared" si="6"/>
        <v>83796</v>
      </c>
      <c r="E23" s="17">
        <f t="shared" si="6"/>
        <v>195524</v>
      </c>
      <c r="F23" s="34">
        <f t="shared" si="7"/>
        <v>698300</v>
      </c>
      <c r="G23" s="2"/>
      <c r="H23" s="2"/>
      <c r="I23" s="2"/>
      <c r="J23" s="2"/>
      <c r="K23" s="2"/>
      <c r="L23" s="2"/>
      <c r="M23" s="2"/>
      <c r="N23" s="2"/>
      <c r="O23" s="2"/>
      <c r="P23" s="2"/>
      <c r="Q23" s="2"/>
      <c r="R23" s="2"/>
      <c r="S23" s="2"/>
      <c r="T23" s="2"/>
      <c r="U23" s="2"/>
      <c r="V23" s="2"/>
      <c r="W23" s="2"/>
      <c r="X23" s="2"/>
      <c r="Y23" s="2"/>
      <c r="Z23" s="2"/>
    </row>
    <row r="24" ht="15.75" customHeight="1">
      <c r="A24" s="12" t="s">
        <v>134</v>
      </c>
      <c r="B24" s="31">
        <f t="shared" ref="B24:E24" si="8">B10</f>
        <v>31</v>
      </c>
      <c r="C24" s="31">
        <f t="shared" si="8"/>
        <v>17</v>
      </c>
      <c r="D24" s="31">
        <f t="shared" si="8"/>
        <v>26</v>
      </c>
      <c r="E24" s="31">
        <f t="shared" si="8"/>
        <v>17</v>
      </c>
      <c r="F24" s="1"/>
      <c r="G24" s="2"/>
      <c r="H24" s="2"/>
      <c r="I24" s="2"/>
      <c r="J24" s="2"/>
      <c r="K24" s="2"/>
      <c r="L24" s="2"/>
      <c r="M24" s="2"/>
      <c r="N24" s="2"/>
      <c r="O24" s="2"/>
      <c r="P24" s="2"/>
      <c r="Q24" s="2"/>
      <c r="R24" s="2"/>
      <c r="S24" s="2"/>
      <c r="T24" s="2"/>
      <c r="U24" s="2"/>
      <c r="V24" s="2"/>
      <c r="W24" s="2"/>
      <c r="X24" s="2"/>
      <c r="Y24" s="2"/>
      <c r="Z24" s="2"/>
    </row>
    <row r="25" ht="15.75" customHeight="1">
      <c r="A25" s="12" t="s">
        <v>116</v>
      </c>
      <c r="B25" s="32">
        <f t="shared" ref="B25:E25" si="9">B23/B24</f>
        <v>4505.16129</v>
      </c>
      <c r="C25" s="32">
        <f t="shared" si="9"/>
        <v>16430.58824</v>
      </c>
      <c r="D25" s="32">
        <f t="shared" si="9"/>
        <v>3222.923077</v>
      </c>
      <c r="E25" s="32">
        <f t="shared" si="9"/>
        <v>11501.41176</v>
      </c>
      <c r="F25" s="35">
        <f t="shared" ref="F25:F28" si="10">SUM(B25:E25)</f>
        <v>35660.08437</v>
      </c>
      <c r="G25" s="2"/>
      <c r="H25" s="2"/>
      <c r="I25" s="2"/>
      <c r="J25" s="2"/>
      <c r="K25" s="2"/>
      <c r="L25" s="2"/>
      <c r="M25" s="2"/>
      <c r="N25" s="2"/>
      <c r="O25" s="2"/>
      <c r="P25" s="2"/>
      <c r="Q25" s="2"/>
      <c r="R25" s="2"/>
      <c r="S25" s="2"/>
      <c r="T25" s="2"/>
      <c r="U25" s="2"/>
      <c r="V25" s="2"/>
      <c r="W25" s="2"/>
      <c r="X25" s="2"/>
      <c r="Y25" s="2"/>
      <c r="Z25" s="2"/>
    </row>
    <row r="26" ht="15.75" customHeight="1">
      <c r="A26" s="12" t="s">
        <v>107</v>
      </c>
      <c r="B26" s="17">
        <f>B25*Assumptions!$B$5</f>
        <v>292835.4839</v>
      </c>
      <c r="C26" s="17">
        <f>C25*Assumptions!$B$5</f>
        <v>1067988.235</v>
      </c>
      <c r="D26" s="17">
        <f>D25*Assumptions!$B$5</f>
        <v>209490</v>
      </c>
      <c r="E26" s="17">
        <f>E25*Assumptions!$B$5</f>
        <v>747591.7647</v>
      </c>
      <c r="F26" s="34">
        <f t="shared" si="10"/>
        <v>2317905.484</v>
      </c>
      <c r="G26" s="2"/>
      <c r="H26" s="2"/>
      <c r="I26" s="2"/>
      <c r="J26" s="2"/>
      <c r="K26" s="2"/>
      <c r="L26" s="2"/>
      <c r="M26" s="2"/>
      <c r="N26" s="2"/>
      <c r="O26" s="2"/>
      <c r="P26" s="2"/>
      <c r="Q26" s="2"/>
      <c r="R26" s="2"/>
      <c r="S26" s="2"/>
      <c r="T26" s="2"/>
      <c r="U26" s="2"/>
      <c r="V26" s="2"/>
      <c r="W26" s="2"/>
      <c r="X26" s="2"/>
      <c r="Y26" s="2"/>
      <c r="Z26" s="2"/>
    </row>
    <row r="27" ht="15.75" customHeight="1">
      <c r="A27" s="12" t="s">
        <v>145</v>
      </c>
      <c r="B27" s="17">
        <f t="shared" ref="B27:E27" si="11">B15*B25</f>
        <v>36041.29032</v>
      </c>
      <c r="C27" s="17">
        <f t="shared" si="11"/>
        <v>361472.9412</v>
      </c>
      <c r="D27" s="17">
        <f t="shared" si="11"/>
        <v>41898</v>
      </c>
      <c r="E27" s="17">
        <f t="shared" si="11"/>
        <v>140892.2941</v>
      </c>
      <c r="F27" s="34">
        <f t="shared" si="10"/>
        <v>580304.5256</v>
      </c>
      <c r="G27" s="2"/>
      <c r="H27" s="2"/>
      <c r="I27" s="2"/>
      <c r="J27" s="2"/>
      <c r="K27" s="2"/>
      <c r="L27" s="2"/>
      <c r="M27" s="2"/>
      <c r="N27" s="2"/>
      <c r="O27" s="2"/>
      <c r="P27" s="2"/>
      <c r="Q27" s="2"/>
      <c r="R27" s="2"/>
      <c r="S27" s="2"/>
      <c r="T27" s="2"/>
      <c r="U27" s="2"/>
      <c r="V27" s="2"/>
      <c r="W27" s="2"/>
      <c r="X27" s="2"/>
      <c r="Y27" s="2"/>
      <c r="Z27" s="2"/>
    </row>
    <row r="28" ht="15.75" customHeight="1">
      <c r="A28" s="12" t="s">
        <v>146</v>
      </c>
      <c r="B28" s="59">
        <f t="shared" ref="B28:E28" si="12">B27/$F$27</f>
        <v>0.06210754652</v>
      </c>
      <c r="C28" s="59">
        <f t="shared" si="12"/>
        <v>0.6229021578</v>
      </c>
      <c r="D28" s="59">
        <f t="shared" si="12"/>
        <v>0.07220002283</v>
      </c>
      <c r="E28" s="59">
        <f t="shared" si="12"/>
        <v>0.2427902729</v>
      </c>
      <c r="F28" s="50">
        <f t="shared" si="10"/>
        <v>1</v>
      </c>
      <c r="G28" s="2"/>
      <c r="H28" s="2"/>
      <c r="I28" s="2"/>
      <c r="J28" s="2"/>
      <c r="K28" s="2"/>
      <c r="L28" s="2"/>
      <c r="M28" s="2"/>
      <c r="N28" s="2"/>
      <c r="O28" s="2"/>
      <c r="P28" s="2"/>
      <c r="Q28" s="2"/>
      <c r="R28" s="2"/>
      <c r="S28" s="2"/>
      <c r="T28" s="2"/>
      <c r="U28" s="2"/>
      <c r="V28" s="2"/>
      <c r="W28" s="2"/>
      <c r="X28" s="2"/>
      <c r="Y28" s="2"/>
      <c r="Z28" s="2"/>
    </row>
    <row r="29" ht="15.75" customHeight="1">
      <c r="A29" s="1"/>
      <c r="B29" s="1"/>
      <c r="C29" s="1"/>
      <c r="D29" s="1"/>
      <c r="E29" s="1"/>
      <c r="F29" s="1"/>
      <c r="G29" s="2"/>
      <c r="H29" s="2"/>
      <c r="I29" s="2"/>
      <c r="J29" s="2"/>
      <c r="K29" s="2"/>
      <c r="L29" s="2"/>
      <c r="M29" s="2"/>
      <c r="N29" s="2"/>
      <c r="O29" s="2"/>
      <c r="P29" s="2"/>
      <c r="Q29" s="2"/>
      <c r="R29" s="2"/>
      <c r="S29" s="2"/>
      <c r="T29" s="2"/>
      <c r="U29" s="2"/>
      <c r="V29" s="2"/>
      <c r="W29" s="2"/>
      <c r="X29" s="2"/>
      <c r="Y29" s="2"/>
      <c r="Z29" s="2"/>
    </row>
    <row r="30" ht="15.75" customHeight="1">
      <c r="A30" s="19" t="s">
        <v>84</v>
      </c>
      <c r="B30" s="1"/>
      <c r="C30" s="1"/>
      <c r="D30" s="1"/>
      <c r="E30" s="1"/>
      <c r="F30" s="60">
        <f>F23/F26</f>
        <v>0.3012633625</v>
      </c>
      <c r="G30" s="2"/>
      <c r="H30" s="2"/>
      <c r="I30" s="2"/>
      <c r="J30" s="2"/>
      <c r="K30" s="2"/>
      <c r="L30" s="2"/>
      <c r="M30" s="2"/>
      <c r="N30" s="2"/>
      <c r="O30" s="2"/>
      <c r="P30" s="2"/>
      <c r="Q30" s="2"/>
      <c r="R30" s="2"/>
      <c r="S30" s="2"/>
      <c r="T30" s="2"/>
      <c r="U30" s="2"/>
      <c r="V30" s="2"/>
      <c r="W30" s="2"/>
      <c r="X30" s="2"/>
      <c r="Y30" s="2"/>
      <c r="Z30" s="2"/>
    </row>
    <row r="31" ht="15.75" customHeight="1">
      <c r="A31" s="19" t="s">
        <v>147</v>
      </c>
      <c r="B31" s="1"/>
      <c r="C31" s="1"/>
      <c r="D31" s="1"/>
      <c r="E31" s="1"/>
      <c r="F31" s="61">
        <f>F26/F7-1</f>
        <v>0.2108687391</v>
      </c>
      <c r="G31" s="2"/>
      <c r="H31" s="2"/>
      <c r="I31" s="2"/>
      <c r="J31" s="2"/>
      <c r="K31" s="2"/>
      <c r="L31" s="2"/>
      <c r="M31" s="2"/>
      <c r="N31" s="2"/>
      <c r="O31" s="2"/>
      <c r="P31" s="2"/>
      <c r="Q31" s="2"/>
      <c r="R31" s="2"/>
      <c r="S31" s="2"/>
      <c r="T31" s="2"/>
      <c r="U31" s="2"/>
      <c r="V31" s="2"/>
      <c r="W31" s="2"/>
      <c r="X31" s="2"/>
      <c r="Y31" s="2"/>
      <c r="Z31" s="2"/>
    </row>
    <row r="32" ht="15.75" customHeight="1">
      <c r="A32" s="19" t="s">
        <v>148</v>
      </c>
      <c r="B32" s="1"/>
      <c r="C32" s="1"/>
      <c r="D32" s="1"/>
      <c r="E32" s="1"/>
      <c r="F32" s="61">
        <f>F27/F16-1</f>
        <v>0.481313403</v>
      </c>
      <c r="G32" s="2"/>
      <c r="H32" s="2"/>
      <c r="I32" s="2"/>
      <c r="J32" s="2"/>
      <c r="K32" s="2"/>
      <c r="L32" s="2"/>
      <c r="M32" s="2"/>
      <c r="N32" s="2"/>
      <c r="O32" s="2"/>
      <c r="P32" s="2"/>
      <c r="Q32" s="2"/>
      <c r="R32" s="2"/>
      <c r="S32" s="2"/>
      <c r="T32" s="2"/>
      <c r="U32" s="2"/>
      <c r="V32" s="2"/>
      <c r="W32" s="2"/>
      <c r="X32" s="2"/>
      <c r="Y32" s="2"/>
      <c r="Z32" s="2"/>
    </row>
    <row r="33" ht="15.75" customHeight="1">
      <c r="A33" s="1"/>
      <c r="B33" s="1"/>
      <c r="C33" s="1"/>
      <c r="D33" s="1"/>
      <c r="E33" s="1"/>
      <c r="F33" s="1"/>
      <c r="G33" s="2"/>
      <c r="H33" s="2"/>
      <c r="I33" s="2"/>
      <c r="J33" s="2"/>
      <c r="K33" s="2"/>
      <c r="L33" s="2"/>
      <c r="M33" s="2"/>
      <c r="N33" s="2"/>
      <c r="O33" s="2"/>
      <c r="P33" s="2"/>
      <c r="Q33" s="2"/>
      <c r="R33" s="2"/>
      <c r="S33" s="2"/>
      <c r="T33" s="2"/>
      <c r="U33" s="2"/>
      <c r="V33" s="2"/>
      <c r="W33" s="2"/>
      <c r="X33" s="2"/>
      <c r="Y33" s="2"/>
      <c r="Z33" s="2"/>
    </row>
    <row r="34" ht="15.0" customHeight="1">
      <c r="A34" s="11" t="s">
        <v>149</v>
      </c>
      <c r="B34" s="4"/>
      <c r="C34" s="4"/>
      <c r="D34" s="4"/>
      <c r="E34" s="4"/>
      <c r="F34" s="5"/>
      <c r="G34" s="2"/>
      <c r="H34" s="2"/>
      <c r="I34" s="2"/>
      <c r="J34" s="2"/>
      <c r="K34" s="2"/>
      <c r="L34" s="2"/>
      <c r="M34" s="2"/>
      <c r="N34" s="2"/>
      <c r="O34" s="2"/>
      <c r="P34" s="2"/>
      <c r="Q34" s="2"/>
      <c r="R34" s="2"/>
      <c r="S34" s="2"/>
      <c r="T34" s="2"/>
      <c r="U34" s="2"/>
      <c r="V34" s="2"/>
      <c r="W34" s="2"/>
      <c r="X34" s="2"/>
      <c r="Y34" s="2"/>
      <c r="Z34" s="2"/>
    </row>
    <row r="35" ht="202.5" customHeight="1">
      <c r="A35" s="62" t="s">
        <v>150</v>
      </c>
      <c r="G35" s="2"/>
      <c r="H35" s="2"/>
      <c r="I35" s="2"/>
      <c r="J35" s="2"/>
      <c r="K35" s="2"/>
      <c r="L35" s="2"/>
      <c r="M35" s="2"/>
      <c r="N35" s="2"/>
      <c r="O35" s="2"/>
      <c r="P35" s="2"/>
      <c r="Q35" s="2"/>
      <c r="R35" s="2"/>
      <c r="S35" s="2"/>
      <c r="T35" s="2"/>
      <c r="U35" s="2"/>
      <c r="V35" s="2"/>
      <c r="W35" s="2"/>
      <c r="X35" s="2"/>
      <c r="Y35" s="2"/>
      <c r="Z35" s="2"/>
    </row>
    <row r="36" ht="15.75" customHeight="1">
      <c r="A36" s="1"/>
      <c r="B36" s="1"/>
      <c r="C36" s="1"/>
      <c r="D36" s="1"/>
      <c r="E36" s="1"/>
      <c r="F36" s="1"/>
      <c r="G36" s="2"/>
      <c r="H36" s="2"/>
      <c r="I36" s="2"/>
      <c r="J36" s="2"/>
      <c r="K36" s="2"/>
      <c r="L36" s="2"/>
      <c r="M36" s="2"/>
      <c r="N36" s="2"/>
      <c r="O36" s="2"/>
      <c r="P36" s="2"/>
      <c r="Q36" s="2"/>
      <c r="R36" s="2"/>
      <c r="S36" s="2"/>
      <c r="T36" s="2"/>
      <c r="U36" s="2"/>
      <c r="V36" s="2"/>
      <c r="W36" s="2"/>
      <c r="X36" s="2"/>
      <c r="Y36" s="2"/>
      <c r="Z36" s="2"/>
    </row>
    <row r="37" ht="15.75" customHeight="1">
      <c r="A37" s="1"/>
      <c r="B37" s="1"/>
      <c r="C37" s="1"/>
      <c r="D37" s="1"/>
      <c r="E37" s="1"/>
      <c r="F37" s="1"/>
      <c r="G37" s="2"/>
      <c r="H37" s="2"/>
      <c r="I37" s="2"/>
      <c r="J37" s="2"/>
      <c r="K37" s="2"/>
      <c r="L37" s="2"/>
      <c r="M37" s="2"/>
      <c r="N37" s="2"/>
      <c r="O37" s="2"/>
      <c r="P37" s="2"/>
      <c r="Q37" s="2"/>
      <c r="R37" s="2"/>
      <c r="S37" s="2"/>
      <c r="T37" s="2"/>
      <c r="U37" s="2"/>
      <c r="V37" s="2"/>
      <c r="W37" s="2"/>
      <c r="X37" s="2"/>
      <c r="Y37" s="2"/>
      <c r="Z37" s="2"/>
    </row>
    <row r="38" ht="15.75" customHeight="1">
      <c r="A38" s="1"/>
      <c r="B38" s="1"/>
      <c r="C38" s="1"/>
      <c r="D38" s="1"/>
      <c r="E38" s="1"/>
      <c r="F38" s="1"/>
      <c r="G38" s="2"/>
      <c r="H38" s="2"/>
      <c r="I38" s="2"/>
      <c r="J38" s="2"/>
      <c r="K38" s="2"/>
      <c r="L38" s="2"/>
      <c r="M38" s="2"/>
      <c r="N38" s="2"/>
      <c r="O38" s="2"/>
      <c r="P38" s="2"/>
      <c r="Q38" s="2"/>
      <c r="R38" s="2"/>
      <c r="S38" s="2"/>
      <c r="T38" s="2"/>
      <c r="U38" s="2"/>
      <c r="V38" s="2"/>
      <c r="W38" s="2"/>
      <c r="X38" s="2"/>
      <c r="Y38" s="2"/>
      <c r="Z38" s="2"/>
    </row>
    <row r="39" ht="15.75" customHeight="1">
      <c r="A39" s="1"/>
      <c r="B39" s="1"/>
      <c r="C39" s="1"/>
      <c r="D39" s="1"/>
      <c r="E39" s="1"/>
      <c r="F39" s="1"/>
      <c r="G39" s="2"/>
      <c r="H39" s="2"/>
      <c r="I39" s="2"/>
      <c r="J39" s="2"/>
      <c r="K39" s="2"/>
      <c r="L39" s="2"/>
      <c r="M39" s="2"/>
      <c r="N39" s="2"/>
      <c r="O39" s="2"/>
      <c r="P39" s="2"/>
      <c r="Q39" s="2"/>
      <c r="R39" s="2"/>
      <c r="S39" s="2"/>
      <c r="T39" s="2"/>
      <c r="U39" s="2"/>
      <c r="V39" s="2"/>
      <c r="W39" s="2"/>
      <c r="X39" s="2"/>
      <c r="Y39" s="2"/>
      <c r="Z39" s="2"/>
    </row>
    <row r="40" ht="15.75" customHeight="1">
      <c r="A40" s="1"/>
      <c r="B40" s="1"/>
      <c r="C40" s="1"/>
      <c r="D40" s="1"/>
      <c r="E40" s="1"/>
      <c r="F40" s="1"/>
      <c r="G40" s="2"/>
      <c r="H40" s="2"/>
      <c r="I40" s="2"/>
      <c r="J40" s="2"/>
      <c r="K40" s="2"/>
      <c r="L40" s="2"/>
      <c r="M40" s="2"/>
      <c r="N40" s="2"/>
      <c r="O40" s="2"/>
      <c r="P40" s="2"/>
      <c r="Q40" s="2"/>
      <c r="R40" s="2"/>
      <c r="S40" s="2"/>
      <c r="T40" s="2"/>
      <c r="U40" s="2"/>
      <c r="V40" s="2"/>
      <c r="W40" s="2"/>
      <c r="X40" s="2"/>
      <c r="Y40" s="2"/>
      <c r="Z40" s="2"/>
    </row>
    <row r="41" ht="15.75" customHeight="1">
      <c r="A41" s="1"/>
      <c r="B41" s="1"/>
      <c r="C41" s="1"/>
      <c r="D41" s="1"/>
      <c r="E41" s="1"/>
      <c r="F41" s="1"/>
      <c r="G41" s="2"/>
      <c r="H41" s="2"/>
      <c r="I41" s="2"/>
      <c r="J41" s="2"/>
      <c r="K41" s="2"/>
      <c r="L41" s="2"/>
      <c r="M41" s="2"/>
      <c r="N41" s="2"/>
      <c r="O41" s="2"/>
      <c r="P41" s="2"/>
      <c r="Q41" s="2"/>
      <c r="R41" s="2"/>
      <c r="S41" s="2"/>
      <c r="T41" s="2"/>
      <c r="U41" s="2"/>
      <c r="V41" s="2"/>
      <c r="W41" s="2"/>
      <c r="X41" s="2"/>
      <c r="Y41" s="2"/>
      <c r="Z41" s="2"/>
    </row>
    <row r="42" ht="15.75" customHeight="1">
      <c r="A42" s="1"/>
      <c r="B42" s="1"/>
      <c r="C42" s="1"/>
      <c r="D42" s="1"/>
      <c r="E42" s="1"/>
      <c r="F42" s="1"/>
      <c r="G42" s="2"/>
      <c r="H42" s="2"/>
      <c r="I42" s="2"/>
      <c r="J42" s="2"/>
      <c r="K42" s="2"/>
      <c r="L42" s="2"/>
      <c r="M42" s="2"/>
      <c r="N42" s="2"/>
      <c r="O42" s="2"/>
      <c r="P42" s="2"/>
      <c r="Q42" s="2"/>
      <c r="R42" s="2"/>
      <c r="S42" s="2"/>
      <c r="T42" s="2"/>
      <c r="U42" s="2"/>
      <c r="V42" s="2"/>
      <c r="W42" s="2"/>
      <c r="X42" s="2"/>
      <c r="Y42" s="2"/>
      <c r="Z42" s="2"/>
    </row>
    <row r="43" ht="15.75" customHeight="1">
      <c r="A43" s="1"/>
      <c r="B43" s="1"/>
      <c r="C43" s="1"/>
      <c r="D43" s="1"/>
      <c r="E43" s="1"/>
      <c r="F43" s="1"/>
      <c r="G43" s="2"/>
      <c r="H43" s="2"/>
      <c r="I43" s="2"/>
      <c r="J43" s="2"/>
      <c r="K43" s="2"/>
      <c r="L43" s="2"/>
      <c r="M43" s="2"/>
      <c r="N43" s="2"/>
      <c r="O43" s="2"/>
      <c r="P43" s="2"/>
      <c r="Q43" s="2"/>
      <c r="R43" s="2"/>
      <c r="S43" s="2"/>
      <c r="T43" s="2"/>
      <c r="U43" s="2"/>
      <c r="V43" s="2"/>
      <c r="W43" s="2"/>
      <c r="X43" s="2"/>
      <c r="Y43" s="2"/>
      <c r="Z43" s="2"/>
    </row>
    <row r="44" ht="15.75" customHeight="1">
      <c r="A44" s="1"/>
      <c r="B44" s="1"/>
      <c r="C44" s="1"/>
      <c r="D44" s="1"/>
      <c r="E44" s="1"/>
      <c r="F44" s="1"/>
      <c r="G44" s="2"/>
      <c r="H44" s="2"/>
      <c r="I44" s="2"/>
      <c r="J44" s="2"/>
      <c r="K44" s="2"/>
      <c r="L44" s="2"/>
      <c r="M44" s="2"/>
      <c r="N44" s="2"/>
      <c r="O44" s="2"/>
      <c r="P44" s="2"/>
      <c r="Q44" s="2"/>
      <c r="R44" s="2"/>
      <c r="S44" s="2"/>
      <c r="T44" s="2"/>
      <c r="U44" s="2"/>
      <c r="V44" s="2"/>
      <c r="W44" s="2"/>
      <c r="X44" s="2"/>
      <c r="Y44" s="2"/>
      <c r="Z44" s="2"/>
    </row>
    <row r="45" ht="15.75" customHeight="1">
      <c r="A45" s="1"/>
      <c r="B45" s="1"/>
      <c r="C45" s="1"/>
      <c r="D45" s="1"/>
      <c r="E45" s="1"/>
      <c r="F45" s="1"/>
      <c r="G45" s="2"/>
      <c r="H45" s="2"/>
      <c r="I45" s="2"/>
      <c r="J45" s="2"/>
      <c r="K45" s="2"/>
      <c r="L45" s="2"/>
      <c r="M45" s="2"/>
      <c r="N45" s="2"/>
      <c r="O45" s="2"/>
      <c r="P45" s="2"/>
      <c r="Q45" s="2"/>
      <c r="R45" s="2"/>
      <c r="S45" s="2"/>
      <c r="T45" s="2"/>
      <c r="U45" s="2"/>
      <c r="V45" s="2"/>
      <c r="W45" s="2"/>
      <c r="X45" s="2"/>
      <c r="Y45" s="2"/>
      <c r="Z45" s="2"/>
    </row>
    <row r="46" ht="15.75" customHeight="1">
      <c r="A46" s="1"/>
      <c r="B46" s="1"/>
      <c r="C46" s="1"/>
      <c r="D46" s="1"/>
      <c r="E46" s="1"/>
      <c r="F46" s="1"/>
      <c r="G46" s="2"/>
      <c r="H46" s="2"/>
      <c r="I46" s="2"/>
      <c r="J46" s="2"/>
      <c r="K46" s="2"/>
      <c r="L46" s="2"/>
      <c r="M46" s="2"/>
      <c r="N46" s="2"/>
      <c r="O46" s="2"/>
      <c r="P46" s="2"/>
      <c r="Q46" s="2"/>
      <c r="R46" s="2"/>
      <c r="S46" s="2"/>
      <c r="T46" s="2"/>
      <c r="U46" s="2"/>
      <c r="V46" s="2"/>
      <c r="W46" s="2"/>
      <c r="X46" s="2"/>
      <c r="Y46" s="2"/>
      <c r="Z46" s="2"/>
    </row>
    <row r="47" ht="15.75" customHeight="1">
      <c r="A47" s="1"/>
      <c r="B47" s="1"/>
      <c r="C47" s="1"/>
      <c r="D47" s="1"/>
      <c r="E47" s="1"/>
      <c r="F47" s="1"/>
      <c r="G47" s="2"/>
      <c r="H47" s="2"/>
      <c r="I47" s="2"/>
      <c r="J47" s="2"/>
      <c r="K47" s="2"/>
      <c r="L47" s="2"/>
      <c r="M47" s="2"/>
      <c r="N47" s="2"/>
      <c r="O47" s="2"/>
      <c r="P47" s="2"/>
      <c r="Q47" s="2"/>
      <c r="R47" s="2"/>
      <c r="S47" s="2"/>
      <c r="T47" s="2"/>
      <c r="U47" s="2"/>
      <c r="V47" s="2"/>
      <c r="W47" s="2"/>
      <c r="X47" s="2"/>
      <c r="Y47" s="2"/>
      <c r="Z47" s="2"/>
    </row>
    <row r="48" ht="15.75" customHeight="1">
      <c r="A48" s="1"/>
      <c r="B48" s="1"/>
      <c r="C48" s="1"/>
      <c r="D48" s="1"/>
      <c r="E48" s="1"/>
      <c r="F48" s="1"/>
      <c r="G48" s="2"/>
      <c r="H48" s="2"/>
      <c r="I48" s="2"/>
      <c r="J48" s="2"/>
      <c r="K48" s="2"/>
      <c r="L48" s="2"/>
      <c r="M48" s="2"/>
      <c r="N48" s="2"/>
      <c r="O48" s="2"/>
      <c r="P48" s="2"/>
      <c r="Q48" s="2"/>
      <c r="R48" s="2"/>
      <c r="S48" s="2"/>
      <c r="T48" s="2"/>
      <c r="U48" s="2"/>
      <c r="V48" s="2"/>
      <c r="W48" s="2"/>
      <c r="X48" s="2"/>
      <c r="Y48" s="2"/>
      <c r="Z48" s="2"/>
    </row>
    <row r="49" ht="15.75" customHeight="1">
      <c r="A49" s="1"/>
      <c r="B49" s="1"/>
      <c r="C49" s="1"/>
      <c r="D49" s="1"/>
      <c r="E49" s="1"/>
      <c r="F49" s="1"/>
      <c r="G49" s="2"/>
      <c r="H49" s="2"/>
      <c r="I49" s="2"/>
      <c r="J49" s="2"/>
      <c r="K49" s="2"/>
      <c r="L49" s="2"/>
      <c r="M49" s="2"/>
      <c r="N49" s="2"/>
      <c r="O49" s="2"/>
      <c r="P49" s="2"/>
      <c r="Q49" s="2"/>
      <c r="R49" s="2"/>
      <c r="S49" s="2"/>
      <c r="T49" s="2"/>
      <c r="U49" s="2"/>
      <c r="V49" s="2"/>
      <c r="W49" s="2"/>
      <c r="X49" s="2"/>
      <c r="Y49" s="2"/>
      <c r="Z49" s="2"/>
    </row>
    <row r="50" ht="15.75" customHeight="1">
      <c r="A50" s="1"/>
      <c r="B50" s="1"/>
      <c r="C50" s="1"/>
      <c r="D50" s="1"/>
      <c r="E50" s="1"/>
      <c r="F50" s="1"/>
      <c r="G50" s="2"/>
      <c r="H50" s="2"/>
      <c r="I50" s="2"/>
      <c r="J50" s="2"/>
      <c r="K50" s="2"/>
      <c r="L50" s="2"/>
      <c r="M50" s="2"/>
      <c r="N50" s="2"/>
      <c r="O50" s="2"/>
      <c r="P50" s="2"/>
      <c r="Q50" s="2"/>
      <c r="R50" s="2"/>
      <c r="S50" s="2"/>
      <c r="T50" s="2"/>
      <c r="U50" s="2"/>
      <c r="V50" s="2"/>
      <c r="W50" s="2"/>
      <c r="X50" s="2"/>
      <c r="Y50" s="2"/>
      <c r="Z50" s="2"/>
    </row>
    <row r="51" ht="15.75" customHeight="1">
      <c r="A51" s="1"/>
      <c r="B51" s="1"/>
      <c r="C51" s="1"/>
      <c r="D51" s="1"/>
      <c r="E51" s="1"/>
      <c r="F51" s="1"/>
      <c r="G51" s="2"/>
      <c r="H51" s="2"/>
      <c r="I51" s="2"/>
      <c r="J51" s="2"/>
      <c r="K51" s="2"/>
      <c r="L51" s="2"/>
      <c r="M51" s="2"/>
      <c r="N51" s="2"/>
      <c r="O51" s="2"/>
      <c r="P51" s="2"/>
      <c r="Q51" s="2"/>
      <c r="R51" s="2"/>
      <c r="S51" s="2"/>
      <c r="T51" s="2"/>
      <c r="U51" s="2"/>
      <c r="V51" s="2"/>
      <c r="W51" s="2"/>
      <c r="X51" s="2"/>
      <c r="Y51" s="2"/>
      <c r="Z51" s="2"/>
    </row>
    <row r="52" ht="15.75" customHeight="1">
      <c r="A52" s="1"/>
      <c r="B52" s="1"/>
      <c r="C52" s="1"/>
      <c r="D52" s="1"/>
      <c r="E52" s="1"/>
      <c r="F52" s="1"/>
      <c r="G52" s="2"/>
      <c r="H52" s="2"/>
      <c r="I52" s="2"/>
      <c r="J52" s="2"/>
      <c r="K52" s="2"/>
      <c r="L52" s="2"/>
      <c r="M52" s="2"/>
      <c r="N52" s="2"/>
      <c r="O52" s="2"/>
      <c r="P52" s="2"/>
      <c r="Q52" s="2"/>
      <c r="R52" s="2"/>
      <c r="S52" s="2"/>
      <c r="T52" s="2"/>
      <c r="U52" s="2"/>
      <c r="V52" s="2"/>
      <c r="W52" s="2"/>
      <c r="X52" s="2"/>
      <c r="Y52" s="2"/>
      <c r="Z52" s="2"/>
    </row>
    <row r="53" ht="15.75" customHeight="1">
      <c r="A53" s="1"/>
      <c r="B53" s="1"/>
      <c r="C53" s="1"/>
      <c r="D53" s="1"/>
      <c r="E53" s="1"/>
      <c r="F53" s="1"/>
      <c r="G53" s="2"/>
      <c r="H53" s="2"/>
      <c r="I53" s="2"/>
      <c r="J53" s="2"/>
      <c r="K53" s="2"/>
      <c r="L53" s="2"/>
      <c r="M53" s="2"/>
      <c r="N53" s="2"/>
      <c r="O53" s="2"/>
      <c r="P53" s="2"/>
      <c r="Q53" s="2"/>
      <c r="R53" s="2"/>
      <c r="S53" s="2"/>
      <c r="T53" s="2"/>
      <c r="U53" s="2"/>
      <c r="V53" s="2"/>
      <c r="W53" s="2"/>
      <c r="X53" s="2"/>
      <c r="Y53" s="2"/>
      <c r="Z53" s="2"/>
    </row>
    <row r="54" ht="15.75" customHeight="1">
      <c r="A54" s="1"/>
      <c r="B54" s="1"/>
      <c r="C54" s="1"/>
      <c r="D54" s="1"/>
      <c r="E54" s="1"/>
      <c r="F54" s="1"/>
      <c r="G54" s="2"/>
      <c r="H54" s="2"/>
      <c r="I54" s="2"/>
      <c r="J54" s="2"/>
      <c r="K54" s="2"/>
      <c r="L54" s="2"/>
      <c r="M54" s="2"/>
      <c r="N54" s="2"/>
      <c r="O54" s="2"/>
      <c r="P54" s="2"/>
      <c r="Q54" s="2"/>
      <c r="R54" s="2"/>
      <c r="S54" s="2"/>
      <c r="T54" s="2"/>
      <c r="U54" s="2"/>
      <c r="V54" s="2"/>
      <c r="W54" s="2"/>
      <c r="X54" s="2"/>
      <c r="Y54" s="2"/>
      <c r="Z54" s="2"/>
    </row>
    <row r="55" ht="15.75" customHeight="1">
      <c r="A55" s="1"/>
      <c r="B55" s="1"/>
      <c r="C55" s="1"/>
      <c r="D55" s="1"/>
      <c r="E55" s="1"/>
      <c r="F55" s="1"/>
      <c r="G55" s="2"/>
      <c r="H55" s="2"/>
      <c r="I55" s="2"/>
      <c r="J55" s="2"/>
      <c r="K55" s="2"/>
      <c r="L55" s="2"/>
      <c r="M55" s="2"/>
      <c r="N55" s="2"/>
      <c r="O55" s="2"/>
      <c r="P55" s="2"/>
      <c r="Q55" s="2"/>
      <c r="R55" s="2"/>
      <c r="S55" s="2"/>
      <c r="T55" s="2"/>
      <c r="U55" s="2"/>
      <c r="V55" s="2"/>
      <c r="W55" s="2"/>
      <c r="X55" s="2"/>
      <c r="Y55" s="2"/>
      <c r="Z55" s="2"/>
    </row>
    <row r="56" ht="15.75" customHeight="1">
      <c r="A56" s="1"/>
      <c r="B56" s="1"/>
      <c r="C56" s="1"/>
      <c r="D56" s="1"/>
      <c r="E56" s="1"/>
      <c r="F56" s="1"/>
      <c r="G56" s="2"/>
      <c r="H56" s="2"/>
      <c r="I56" s="2"/>
      <c r="J56" s="2"/>
      <c r="K56" s="2"/>
      <c r="L56" s="2"/>
      <c r="M56" s="2"/>
      <c r="N56" s="2"/>
      <c r="O56" s="2"/>
      <c r="P56" s="2"/>
      <c r="Q56" s="2"/>
      <c r="R56" s="2"/>
      <c r="S56" s="2"/>
      <c r="T56" s="2"/>
      <c r="U56" s="2"/>
      <c r="V56" s="2"/>
      <c r="W56" s="2"/>
      <c r="X56" s="2"/>
      <c r="Y56" s="2"/>
      <c r="Z56" s="2"/>
    </row>
    <row r="57" ht="15.75" customHeight="1">
      <c r="A57" s="1"/>
      <c r="B57" s="1"/>
      <c r="C57" s="1"/>
      <c r="D57" s="1"/>
      <c r="E57" s="1"/>
      <c r="F57" s="1"/>
      <c r="G57" s="2"/>
      <c r="H57" s="2"/>
      <c r="I57" s="2"/>
      <c r="J57" s="2"/>
      <c r="K57" s="2"/>
      <c r="L57" s="2"/>
      <c r="M57" s="2"/>
      <c r="N57" s="2"/>
      <c r="O57" s="2"/>
      <c r="P57" s="2"/>
      <c r="Q57" s="2"/>
      <c r="R57" s="2"/>
      <c r="S57" s="2"/>
      <c r="T57" s="2"/>
      <c r="U57" s="2"/>
      <c r="V57" s="2"/>
      <c r="W57" s="2"/>
      <c r="X57" s="2"/>
      <c r="Y57" s="2"/>
      <c r="Z57" s="2"/>
    </row>
    <row r="58" ht="15.75" customHeight="1">
      <c r="A58" s="1"/>
      <c r="B58" s="1"/>
      <c r="C58" s="1"/>
      <c r="D58" s="1"/>
      <c r="E58" s="1"/>
      <c r="F58" s="1"/>
      <c r="G58" s="2"/>
      <c r="H58" s="2"/>
      <c r="I58" s="2"/>
      <c r="J58" s="2"/>
      <c r="K58" s="2"/>
      <c r="L58" s="2"/>
      <c r="M58" s="2"/>
      <c r="N58" s="2"/>
      <c r="O58" s="2"/>
      <c r="P58" s="2"/>
      <c r="Q58" s="2"/>
      <c r="R58" s="2"/>
      <c r="S58" s="2"/>
      <c r="T58" s="2"/>
      <c r="U58" s="2"/>
      <c r="V58" s="2"/>
      <c r="W58" s="2"/>
      <c r="X58" s="2"/>
      <c r="Y58" s="2"/>
      <c r="Z58" s="2"/>
    </row>
    <row r="59" ht="15.75" customHeight="1">
      <c r="A59" s="1"/>
      <c r="B59" s="1"/>
      <c r="C59" s="1"/>
      <c r="D59" s="1"/>
      <c r="E59" s="1"/>
      <c r="F59" s="1"/>
      <c r="G59" s="2"/>
      <c r="H59" s="2"/>
      <c r="I59" s="2"/>
      <c r="J59" s="2"/>
      <c r="K59" s="2"/>
      <c r="L59" s="2"/>
      <c r="M59" s="2"/>
      <c r="N59" s="2"/>
      <c r="O59" s="2"/>
      <c r="P59" s="2"/>
      <c r="Q59" s="2"/>
      <c r="R59" s="2"/>
      <c r="S59" s="2"/>
      <c r="T59" s="2"/>
      <c r="U59" s="2"/>
      <c r="V59" s="2"/>
      <c r="W59" s="2"/>
      <c r="X59" s="2"/>
      <c r="Y59" s="2"/>
      <c r="Z59" s="2"/>
    </row>
    <row r="60" ht="15.75" customHeight="1">
      <c r="A60" s="1"/>
      <c r="B60" s="1"/>
      <c r="C60" s="1"/>
      <c r="D60" s="1"/>
      <c r="E60" s="1"/>
      <c r="F60" s="1"/>
      <c r="G60" s="2"/>
      <c r="H60" s="2"/>
      <c r="I60" s="2"/>
      <c r="J60" s="2"/>
      <c r="K60" s="2"/>
      <c r="L60" s="2"/>
      <c r="M60" s="2"/>
      <c r="N60" s="2"/>
      <c r="O60" s="2"/>
      <c r="P60" s="2"/>
      <c r="Q60" s="2"/>
      <c r="R60" s="2"/>
      <c r="S60" s="2"/>
      <c r="T60" s="2"/>
      <c r="U60" s="2"/>
      <c r="V60" s="2"/>
      <c r="W60" s="2"/>
      <c r="X60" s="2"/>
      <c r="Y60" s="2"/>
      <c r="Z60" s="2"/>
    </row>
    <row r="61" ht="15.75" customHeight="1">
      <c r="A61" s="1"/>
      <c r="B61" s="1"/>
      <c r="C61" s="1"/>
      <c r="D61" s="1"/>
      <c r="E61" s="1"/>
      <c r="F61" s="1"/>
      <c r="G61" s="2"/>
      <c r="H61" s="2"/>
      <c r="I61" s="2"/>
      <c r="J61" s="2"/>
      <c r="K61" s="2"/>
      <c r="L61" s="2"/>
      <c r="M61" s="2"/>
      <c r="N61" s="2"/>
      <c r="O61" s="2"/>
      <c r="P61" s="2"/>
      <c r="Q61" s="2"/>
      <c r="R61" s="2"/>
      <c r="S61" s="2"/>
      <c r="T61" s="2"/>
      <c r="U61" s="2"/>
      <c r="V61" s="2"/>
      <c r="W61" s="2"/>
      <c r="X61" s="2"/>
      <c r="Y61" s="2"/>
      <c r="Z61" s="2"/>
    </row>
    <row r="62" ht="15.75" customHeight="1">
      <c r="A62" s="1"/>
      <c r="B62" s="1"/>
      <c r="C62" s="1"/>
      <c r="D62" s="1"/>
      <c r="E62" s="1"/>
      <c r="F62" s="1"/>
      <c r="G62" s="2"/>
      <c r="H62" s="2"/>
      <c r="I62" s="2"/>
      <c r="J62" s="2"/>
      <c r="K62" s="2"/>
      <c r="L62" s="2"/>
      <c r="M62" s="2"/>
      <c r="N62" s="2"/>
      <c r="O62" s="2"/>
      <c r="P62" s="2"/>
      <c r="Q62" s="2"/>
      <c r="R62" s="2"/>
      <c r="S62" s="2"/>
      <c r="T62" s="2"/>
      <c r="U62" s="2"/>
      <c r="V62" s="2"/>
      <c r="W62" s="2"/>
      <c r="X62" s="2"/>
      <c r="Y62" s="2"/>
      <c r="Z62" s="2"/>
    </row>
    <row r="63" ht="15.75" customHeight="1">
      <c r="A63" s="1"/>
      <c r="B63" s="1"/>
      <c r="C63" s="1"/>
      <c r="D63" s="1"/>
      <c r="E63" s="1"/>
      <c r="F63" s="1"/>
      <c r="G63" s="2"/>
      <c r="H63" s="2"/>
      <c r="I63" s="2"/>
      <c r="J63" s="2"/>
      <c r="K63" s="2"/>
      <c r="L63" s="2"/>
      <c r="M63" s="2"/>
      <c r="N63" s="2"/>
      <c r="O63" s="2"/>
      <c r="P63" s="2"/>
      <c r="Q63" s="2"/>
      <c r="R63" s="2"/>
      <c r="S63" s="2"/>
      <c r="T63" s="2"/>
      <c r="U63" s="2"/>
      <c r="V63" s="2"/>
      <c r="W63" s="2"/>
      <c r="X63" s="2"/>
      <c r="Y63" s="2"/>
      <c r="Z63" s="2"/>
    </row>
    <row r="64" ht="15.75" customHeight="1">
      <c r="A64" s="1"/>
      <c r="B64" s="1"/>
      <c r="C64" s="1"/>
      <c r="D64" s="1"/>
      <c r="E64" s="1"/>
      <c r="F64" s="1"/>
      <c r="G64" s="2"/>
      <c r="H64" s="2"/>
      <c r="I64" s="2"/>
      <c r="J64" s="2"/>
      <c r="K64" s="2"/>
      <c r="L64" s="2"/>
      <c r="M64" s="2"/>
      <c r="N64" s="2"/>
      <c r="O64" s="2"/>
      <c r="P64" s="2"/>
      <c r="Q64" s="2"/>
      <c r="R64" s="2"/>
      <c r="S64" s="2"/>
      <c r="T64" s="2"/>
      <c r="U64" s="2"/>
      <c r="V64" s="2"/>
      <c r="W64" s="2"/>
      <c r="X64" s="2"/>
      <c r="Y64" s="2"/>
      <c r="Z64" s="2"/>
    </row>
    <row r="65" ht="15.75" customHeight="1">
      <c r="A65" s="1"/>
      <c r="B65" s="1"/>
      <c r="C65" s="1"/>
      <c r="D65" s="1"/>
      <c r="E65" s="1"/>
      <c r="F65" s="1"/>
      <c r="G65" s="2"/>
      <c r="H65" s="2"/>
      <c r="I65" s="2"/>
      <c r="J65" s="2"/>
      <c r="K65" s="2"/>
      <c r="L65" s="2"/>
      <c r="M65" s="2"/>
      <c r="N65" s="2"/>
      <c r="O65" s="2"/>
      <c r="P65" s="2"/>
      <c r="Q65" s="2"/>
      <c r="R65" s="2"/>
      <c r="S65" s="2"/>
      <c r="T65" s="2"/>
      <c r="U65" s="2"/>
      <c r="V65" s="2"/>
      <c r="W65" s="2"/>
      <c r="X65" s="2"/>
      <c r="Y65" s="2"/>
      <c r="Z65" s="2"/>
    </row>
    <row r="66" ht="15.75" customHeight="1">
      <c r="A66" s="1"/>
      <c r="B66" s="1"/>
      <c r="C66" s="1"/>
      <c r="D66" s="1"/>
      <c r="E66" s="1"/>
      <c r="F66" s="1"/>
      <c r="G66" s="2"/>
      <c r="H66" s="2"/>
      <c r="I66" s="2"/>
      <c r="J66" s="2"/>
      <c r="K66" s="2"/>
      <c r="L66" s="2"/>
      <c r="M66" s="2"/>
      <c r="N66" s="2"/>
      <c r="O66" s="2"/>
      <c r="P66" s="2"/>
      <c r="Q66" s="2"/>
      <c r="R66" s="2"/>
      <c r="S66" s="2"/>
      <c r="T66" s="2"/>
      <c r="U66" s="2"/>
      <c r="V66" s="2"/>
      <c r="W66" s="2"/>
      <c r="X66" s="2"/>
      <c r="Y66" s="2"/>
      <c r="Z66" s="2"/>
    </row>
    <row r="67" ht="15.75" customHeight="1">
      <c r="A67" s="1"/>
      <c r="B67" s="1"/>
      <c r="C67" s="1"/>
      <c r="D67" s="1"/>
      <c r="E67" s="1"/>
      <c r="F67" s="1"/>
      <c r="G67" s="2"/>
      <c r="H67" s="2"/>
      <c r="I67" s="2"/>
      <c r="J67" s="2"/>
      <c r="K67" s="2"/>
      <c r="L67" s="2"/>
      <c r="M67" s="2"/>
      <c r="N67" s="2"/>
      <c r="O67" s="2"/>
      <c r="P67" s="2"/>
      <c r="Q67" s="2"/>
      <c r="R67" s="2"/>
      <c r="S67" s="2"/>
      <c r="T67" s="2"/>
      <c r="U67" s="2"/>
      <c r="V67" s="2"/>
      <c r="W67" s="2"/>
      <c r="X67" s="2"/>
      <c r="Y67" s="2"/>
      <c r="Z67" s="2"/>
    </row>
    <row r="68" ht="15.75" customHeight="1">
      <c r="A68" s="1"/>
      <c r="B68" s="1"/>
      <c r="C68" s="1"/>
      <c r="D68" s="1"/>
      <c r="E68" s="1"/>
      <c r="F68" s="1"/>
      <c r="G68" s="2"/>
      <c r="H68" s="2"/>
      <c r="I68" s="2"/>
      <c r="J68" s="2"/>
      <c r="K68" s="2"/>
      <c r="L68" s="2"/>
      <c r="M68" s="2"/>
      <c r="N68" s="2"/>
      <c r="O68" s="2"/>
      <c r="P68" s="2"/>
      <c r="Q68" s="2"/>
      <c r="R68" s="2"/>
      <c r="S68" s="2"/>
      <c r="T68" s="2"/>
      <c r="U68" s="2"/>
      <c r="V68" s="2"/>
      <c r="W68" s="2"/>
      <c r="X68" s="2"/>
      <c r="Y68" s="2"/>
      <c r="Z68" s="2"/>
    </row>
    <row r="69" ht="15.75" customHeight="1">
      <c r="A69" s="1"/>
      <c r="B69" s="1"/>
      <c r="C69" s="1"/>
      <c r="D69" s="1"/>
      <c r="E69" s="1"/>
      <c r="F69" s="1"/>
      <c r="G69" s="2"/>
      <c r="H69" s="2"/>
      <c r="I69" s="2"/>
      <c r="J69" s="2"/>
      <c r="K69" s="2"/>
      <c r="L69" s="2"/>
      <c r="M69" s="2"/>
      <c r="N69" s="2"/>
      <c r="O69" s="2"/>
      <c r="P69" s="2"/>
      <c r="Q69" s="2"/>
      <c r="R69" s="2"/>
      <c r="S69" s="2"/>
      <c r="T69" s="2"/>
      <c r="U69" s="2"/>
      <c r="V69" s="2"/>
      <c r="W69" s="2"/>
      <c r="X69" s="2"/>
      <c r="Y69" s="2"/>
      <c r="Z69" s="2"/>
    </row>
    <row r="70" ht="15.75" customHeight="1">
      <c r="A70" s="1"/>
      <c r="B70" s="1"/>
      <c r="C70" s="1"/>
      <c r="D70" s="1"/>
      <c r="E70" s="1"/>
      <c r="F70" s="1"/>
      <c r="G70" s="2"/>
      <c r="H70" s="2"/>
      <c r="I70" s="2"/>
      <c r="J70" s="2"/>
      <c r="K70" s="2"/>
      <c r="L70" s="2"/>
      <c r="M70" s="2"/>
      <c r="N70" s="2"/>
      <c r="O70" s="2"/>
      <c r="P70" s="2"/>
      <c r="Q70" s="2"/>
      <c r="R70" s="2"/>
      <c r="S70" s="2"/>
      <c r="T70" s="2"/>
      <c r="U70" s="2"/>
      <c r="V70" s="2"/>
      <c r="W70" s="2"/>
      <c r="X70" s="2"/>
      <c r="Y70" s="2"/>
      <c r="Z70" s="2"/>
    </row>
    <row r="71" ht="15.75" customHeight="1">
      <c r="A71" s="1"/>
      <c r="B71" s="1"/>
      <c r="C71" s="1"/>
      <c r="D71" s="1"/>
      <c r="E71" s="1"/>
      <c r="F71" s="1"/>
      <c r="G71" s="2"/>
      <c r="H71" s="2"/>
      <c r="I71" s="2"/>
      <c r="J71" s="2"/>
      <c r="K71" s="2"/>
      <c r="L71" s="2"/>
      <c r="M71" s="2"/>
      <c r="N71" s="2"/>
      <c r="O71" s="2"/>
      <c r="P71" s="2"/>
      <c r="Q71" s="2"/>
      <c r="R71" s="2"/>
      <c r="S71" s="2"/>
      <c r="T71" s="2"/>
      <c r="U71" s="2"/>
      <c r="V71" s="2"/>
      <c r="W71" s="2"/>
      <c r="X71" s="2"/>
      <c r="Y71" s="2"/>
      <c r="Z71" s="2"/>
    </row>
    <row r="72" ht="15.75" customHeight="1">
      <c r="A72" s="1"/>
      <c r="B72" s="1"/>
      <c r="C72" s="1"/>
      <c r="D72" s="1"/>
      <c r="E72" s="1"/>
      <c r="F72" s="1"/>
      <c r="G72" s="2"/>
      <c r="H72" s="2"/>
      <c r="I72" s="2"/>
      <c r="J72" s="2"/>
      <c r="K72" s="2"/>
      <c r="L72" s="2"/>
      <c r="M72" s="2"/>
      <c r="N72" s="2"/>
      <c r="O72" s="2"/>
      <c r="P72" s="2"/>
      <c r="Q72" s="2"/>
      <c r="R72" s="2"/>
      <c r="S72" s="2"/>
      <c r="T72" s="2"/>
      <c r="U72" s="2"/>
      <c r="V72" s="2"/>
      <c r="W72" s="2"/>
      <c r="X72" s="2"/>
      <c r="Y72" s="2"/>
      <c r="Z72" s="2"/>
    </row>
    <row r="73" ht="15.75" customHeight="1">
      <c r="A73" s="1"/>
      <c r="B73" s="1"/>
      <c r="C73" s="1"/>
      <c r="D73" s="1"/>
      <c r="E73" s="1"/>
      <c r="F73" s="1"/>
      <c r="G73" s="2"/>
      <c r="H73" s="2"/>
      <c r="I73" s="2"/>
      <c r="J73" s="2"/>
      <c r="K73" s="2"/>
      <c r="L73" s="2"/>
      <c r="M73" s="2"/>
      <c r="N73" s="2"/>
      <c r="O73" s="2"/>
      <c r="P73" s="2"/>
      <c r="Q73" s="2"/>
      <c r="R73" s="2"/>
      <c r="S73" s="2"/>
      <c r="T73" s="2"/>
      <c r="U73" s="2"/>
      <c r="V73" s="2"/>
      <c r="W73" s="2"/>
      <c r="X73" s="2"/>
      <c r="Y73" s="2"/>
      <c r="Z73" s="2"/>
    </row>
    <row r="74" ht="15.75" customHeight="1">
      <c r="A74" s="1"/>
      <c r="B74" s="1"/>
      <c r="C74" s="1"/>
      <c r="D74" s="1"/>
      <c r="E74" s="1"/>
      <c r="F74" s="1"/>
      <c r="G74" s="2"/>
      <c r="H74" s="2"/>
      <c r="I74" s="2"/>
      <c r="J74" s="2"/>
      <c r="K74" s="2"/>
      <c r="L74" s="2"/>
      <c r="M74" s="2"/>
      <c r="N74" s="2"/>
      <c r="O74" s="2"/>
      <c r="P74" s="2"/>
      <c r="Q74" s="2"/>
      <c r="R74" s="2"/>
      <c r="S74" s="2"/>
      <c r="T74" s="2"/>
      <c r="U74" s="2"/>
      <c r="V74" s="2"/>
      <c r="W74" s="2"/>
      <c r="X74" s="2"/>
      <c r="Y74" s="2"/>
      <c r="Z74" s="2"/>
    </row>
    <row r="75" ht="15.75" customHeight="1">
      <c r="A75" s="1"/>
      <c r="B75" s="1"/>
      <c r="C75" s="1"/>
      <c r="D75" s="1"/>
      <c r="E75" s="1"/>
      <c r="F75" s="1"/>
      <c r="G75" s="2"/>
      <c r="H75" s="2"/>
      <c r="I75" s="2"/>
      <c r="J75" s="2"/>
      <c r="K75" s="2"/>
      <c r="L75" s="2"/>
      <c r="M75" s="2"/>
      <c r="N75" s="2"/>
      <c r="O75" s="2"/>
      <c r="P75" s="2"/>
      <c r="Q75" s="2"/>
      <c r="R75" s="2"/>
      <c r="S75" s="2"/>
      <c r="T75" s="2"/>
      <c r="U75" s="2"/>
      <c r="V75" s="2"/>
      <c r="W75" s="2"/>
      <c r="X75" s="2"/>
      <c r="Y75" s="2"/>
      <c r="Z75" s="2"/>
    </row>
    <row r="76" ht="15.75" customHeight="1">
      <c r="A76" s="1"/>
      <c r="B76" s="1"/>
      <c r="C76" s="1"/>
      <c r="D76" s="1"/>
      <c r="E76" s="1"/>
      <c r="F76" s="1"/>
      <c r="G76" s="2"/>
      <c r="H76" s="2"/>
      <c r="I76" s="2"/>
      <c r="J76" s="2"/>
      <c r="K76" s="2"/>
      <c r="L76" s="2"/>
      <c r="M76" s="2"/>
      <c r="N76" s="2"/>
      <c r="O76" s="2"/>
      <c r="P76" s="2"/>
      <c r="Q76" s="2"/>
      <c r="R76" s="2"/>
      <c r="S76" s="2"/>
      <c r="T76" s="2"/>
      <c r="U76" s="2"/>
      <c r="V76" s="2"/>
      <c r="W76" s="2"/>
      <c r="X76" s="2"/>
      <c r="Y76" s="2"/>
      <c r="Z76" s="2"/>
    </row>
    <row r="77" ht="15.75" customHeight="1">
      <c r="A77" s="1"/>
      <c r="B77" s="1"/>
      <c r="C77" s="1"/>
      <c r="D77" s="1"/>
      <c r="E77" s="1"/>
      <c r="F77" s="1"/>
      <c r="G77" s="2"/>
      <c r="H77" s="2"/>
      <c r="I77" s="2"/>
      <c r="J77" s="2"/>
      <c r="K77" s="2"/>
      <c r="L77" s="2"/>
      <c r="M77" s="2"/>
      <c r="N77" s="2"/>
      <c r="O77" s="2"/>
      <c r="P77" s="2"/>
      <c r="Q77" s="2"/>
      <c r="R77" s="2"/>
      <c r="S77" s="2"/>
      <c r="T77" s="2"/>
      <c r="U77" s="2"/>
      <c r="V77" s="2"/>
      <c r="W77" s="2"/>
      <c r="X77" s="2"/>
      <c r="Y77" s="2"/>
      <c r="Z77" s="2"/>
    </row>
    <row r="78" ht="15.75" customHeight="1">
      <c r="A78" s="1"/>
      <c r="B78" s="1"/>
      <c r="C78" s="1"/>
      <c r="D78" s="1"/>
      <c r="E78" s="1"/>
      <c r="F78" s="1"/>
      <c r="G78" s="2"/>
      <c r="H78" s="2"/>
      <c r="I78" s="2"/>
      <c r="J78" s="2"/>
      <c r="K78" s="2"/>
      <c r="L78" s="2"/>
      <c r="M78" s="2"/>
      <c r="N78" s="2"/>
      <c r="O78" s="2"/>
      <c r="P78" s="2"/>
      <c r="Q78" s="2"/>
      <c r="R78" s="2"/>
      <c r="S78" s="2"/>
      <c r="T78" s="2"/>
      <c r="U78" s="2"/>
      <c r="V78" s="2"/>
      <c r="W78" s="2"/>
      <c r="X78" s="2"/>
      <c r="Y78" s="2"/>
      <c r="Z78" s="2"/>
    </row>
    <row r="79" ht="15.75" customHeight="1">
      <c r="A79" s="1"/>
      <c r="B79" s="1"/>
      <c r="C79" s="1"/>
      <c r="D79" s="1"/>
      <c r="E79" s="1"/>
      <c r="F79" s="1"/>
      <c r="G79" s="2"/>
      <c r="H79" s="2"/>
      <c r="I79" s="2"/>
      <c r="J79" s="2"/>
      <c r="K79" s="2"/>
      <c r="L79" s="2"/>
      <c r="M79" s="2"/>
      <c r="N79" s="2"/>
      <c r="O79" s="2"/>
      <c r="P79" s="2"/>
      <c r="Q79" s="2"/>
      <c r="R79" s="2"/>
      <c r="S79" s="2"/>
      <c r="T79" s="2"/>
      <c r="U79" s="2"/>
      <c r="V79" s="2"/>
      <c r="W79" s="2"/>
      <c r="X79" s="2"/>
      <c r="Y79" s="2"/>
      <c r="Z79" s="2"/>
    </row>
    <row r="80" ht="15.75" customHeight="1">
      <c r="A80" s="1"/>
      <c r="B80" s="1"/>
      <c r="C80" s="1"/>
      <c r="D80" s="1"/>
      <c r="E80" s="1"/>
      <c r="F80" s="1"/>
      <c r="G80" s="2"/>
      <c r="H80" s="2"/>
      <c r="I80" s="2"/>
      <c r="J80" s="2"/>
      <c r="K80" s="2"/>
      <c r="L80" s="2"/>
      <c r="M80" s="2"/>
      <c r="N80" s="2"/>
      <c r="O80" s="2"/>
      <c r="P80" s="2"/>
      <c r="Q80" s="2"/>
      <c r="R80" s="2"/>
      <c r="S80" s="2"/>
      <c r="T80" s="2"/>
      <c r="U80" s="2"/>
      <c r="V80" s="2"/>
      <c r="W80" s="2"/>
      <c r="X80" s="2"/>
      <c r="Y80" s="2"/>
      <c r="Z80" s="2"/>
    </row>
    <row r="81" ht="15.75" customHeight="1">
      <c r="A81" s="1"/>
      <c r="B81" s="1"/>
      <c r="C81" s="1"/>
      <c r="D81" s="1"/>
      <c r="E81" s="1"/>
      <c r="F81" s="1"/>
      <c r="G81" s="2"/>
      <c r="H81" s="2"/>
      <c r="I81" s="2"/>
      <c r="J81" s="2"/>
      <c r="K81" s="2"/>
      <c r="L81" s="2"/>
      <c r="M81" s="2"/>
      <c r="N81" s="2"/>
      <c r="O81" s="2"/>
      <c r="P81" s="2"/>
      <c r="Q81" s="2"/>
      <c r="R81" s="2"/>
      <c r="S81" s="2"/>
      <c r="T81" s="2"/>
      <c r="U81" s="2"/>
      <c r="V81" s="2"/>
      <c r="W81" s="2"/>
      <c r="X81" s="2"/>
      <c r="Y81" s="2"/>
      <c r="Z81" s="2"/>
    </row>
    <row r="82" ht="15.75" customHeight="1">
      <c r="A82" s="1"/>
      <c r="B82" s="1"/>
      <c r="C82" s="1"/>
      <c r="D82" s="1"/>
      <c r="E82" s="1"/>
      <c r="F82" s="1"/>
      <c r="G82" s="2"/>
      <c r="H82" s="2"/>
      <c r="I82" s="2"/>
      <c r="J82" s="2"/>
      <c r="K82" s="2"/>
      <c r="L82" s="2"/>
      <c r="M82" s="2"/>
      <c r="N82" s="2"/>
      <c r="O82" s="2"/>
      <c r="P82" s="2"/>
      <c r="Q82" s="2"/>
      <c r="R82" s="2"/>
      <c r="S82" s="2"/>
      <c r="T82" s="2"/>
      <c r="U82" s="2"/>
      <c r="V82" s="2"/>
      <c r="W82" s="2"/>
      <c r="X82" s="2"/>
      <c r="Y82" s="2"/>
      <c r="Z82" s="2"/>
    </row>
    <row r="83" ht="15.75" customHeight="1">
      <c r="A83" s="1"/>
      <c r="B83" s="1"/>
      <c r="C83" s="1"/>
      <c r="D83" s="1"/>
      <c r="E83" s="1"/>
      <c r="F83" s="1"/>
      <c r="G83" s="2"/>
      <c r="H83" s="2"/>
      <c r="I83" s="2"/>
      <c r="J83" s="2"/>
      <c r="K83" s="2"/>
      <c r="L83" s="2"/>
      <c r="M83" s="2"/>
      <c r="N83" s="2"/>
      <c r="O83" s="2"/>
      <c r="P83" s="2"/>
      <c r="Q83" s="2"/>
      <c r="R83" s="2"/>
      <c r="S83" s="2"/>
      <c r="T83" s="2"/>
      <c r="U83" s="2"/>
      <c r="V83" s="2"/>
      <c r="W83" s="2"/>
      <c r="X83" s="2"/>
      <c r="Y83" s="2"/>
      <c r="Z83" s="2"/>
    </row>
    <row r="84" ht="15.75" customHeight="1">
      <c r="A84" s="1"/>
      <c r="B84" s="1"/>
      <c r="C84" s="1"/>
      <c r="D84" s="1"/>
      <c r="E84" s="1"/>
      <c r="F84" s="1"/>
      <c r="G84" s="2"/>
      <c r="H84" s="2"/>
      <c r="I84" s="2"/>
      <c r="J84" s="2"/>
      <c r="K84" s="2"/>
      <c r="L84" s="2"/>
      <c r="M84" s="2"/>
      <c r="N84" s="2"/>
      <c r="O84" s="2"/>
      <c r="P84" s="2"/>
      <c r="Q84" s="2"/>
      <c r="R84" s="2"/>
      <c r="S84" s="2"/>
      <c r="T84" s="2"/>
      <c r="U84" s="2"/>
      <c r="V84" s="2"/>
      <c r="W84" s="2"/>
      <c r="X84" s="2"/>
      <c r="Y84" s="2"/>
      <c r="Z84" s="2"/>
    </row>
    <row r="85" ht="15.75" customHeight="1">
      <c r="A85" s="1"/>
      <c r="B85" s="1"/>
      <c r="C85" s="1"/>
      <c r="D85" s="1"/>
      <c r="E85" s="1"/>
      <c r="F85" s="1"/>
      <c r="G85" s="2"/>
      <c r="H85" s="2"/>
      <c r="I85" s="2"/>
      <c r="J85" s="2"/>
      <c r="K85" s="2"/>
      <c r="L85" s="2"/>
      <c r="M85" s="2"/>
      <c r="N85" s="2"/>
      <c r="O85" s="2"/>
      <c r="P85" s="2"/>
      <c r="Q85" s="2"/>
      <c r="R85" s="2"/>
      <c r="S85" s="2"/>
      <c r="T85" s="2"/>
      <c r="U85" s="2"/>
      <c r="V85" s="2"/>
      <c r="W85" s="2"/>
      <c r="X85" s="2"/>
      <c r="Y85" s="2"/>
      <c r="Z85" s="2"/>
    </row>
    <row r="86" ht="15.75" customHeight="1">
      <c r="A86" s="1"/>
      <c r="B86" s="1"/>
      <c r="C86" s="1"/>
      <c r="D86" s="1"/>
      <c r="E86" s="1"/>
      <c r="F86" s="1"/>
      <c r="G86" s="2"/>
      <c r="H86" s="2"/>
      <c r="I86" s="2"/>
      <c r="J86" s="2"/>
      <c r="K86" s="2"/>
      <c r="L86" s="2"/>
      <c r="M86" s="2"/>
      <c r="N86" s="2"/>
      <c r="O86" s="2"/>
      <c r="P86" s="2"/>
      <c r="Q86" s="2"/>
      <c r="R86" s="2"/>
      <c r="S86" s="2"/>
      <c r="T86" s="2"/>
      <c r="U86" s="2"/>
      <c r="V86" s="2"/>
      <c r="W86" s="2"/>
      <c r="X86" s="2"/>
      <c r="Y86" s="2"/>
      <c r="Z86" s="2"/>
    </row>
    <row r="87" ht="15.75" customHeight="1">
      <c r="A87" s="1"/>
      <c r="B87" s="1"/>
      <c r="C87" s="1"/>
      <c r="D87" s="1"/>
      <c r="E87" s="1"/>
      <c r="F87" s="1"/>
      <c r="G87" s="2"/>
      <c r="H87" s="2"/>
      <c r="I87" s="2"/>
      <c r="J87" s="2"/>
      <c r="K87" s="2"/>
      <c r="L87" s="2"/>
      <c r="M87" s="2"/>
      <c r="N87" s="2"/>
      <c r="O87" s="2"/>
      <c r="P87" s="2"/>
      <c r="Q87" s="2"/>
      <c r="R87" s="2"/>
      <c r="S87" s="2"/>
      <c r="T87" s="2"/>
      <c r="U87" s="2"/>
      <c r="V87" s="2"/>
      <c r="W87" s="2"/>
      <c r="X87" s="2"/>
      <c r="Y87" s="2"/>
      <c r="Z87" s="2"/>
    </row>
    <row r="88" ht="15.75" customHeight="1">
      <c r="A88" s="1"/>
      <c r="B88" s="1"/>
      <c r="C88" s="1"/>
      <c r="D88" s="1"/>
      <c r="E88" s="1"/>
      <c r="F88" s="1"/>
      <c r="G88" s="2"/>
      <c r="H88" s="2"/>
      <c r="I88" s="2"/>
      <c r="J88" s="2"/>
      <c r="K88" s="2"/>
      <c r="L88" s="2"/>
      <c r="M88" s="2"/>
      <c r="N88" s="2"/>
      <c r="O88" s="2"/>
      <c r="P88" s="2"/>
      <c r="Q88" s="2"/>
      <c r="R88" s="2"/>
      <c r="S88" s="2"/>
      <c r="T88" s="2"/>
      <c r="U88" s="2"/>
      <c r="V88" s="2"/>
      <c r="W88" s="2"/>
      <c r="X88" s="2"/>
      <c r="Y88" s="2"/>
      <c r="Z88" s="2"/>
    </row>
    <row r="89" ht="15.75" customHeight="1">
      <c r="A89" s="1"/>
      <c r="B89" s="1"/>
      <c r="C89" s="1"/>
      <c r="D89" s="1"/>
      <c r="E89" s="1"/>
      <c r="F89" s="1"/>
      <c r="G89" s="2"/>
      <c r="H89" s="2"/>
      <c r="I89" s="2"/>
      <c r="J89" s="2"/>
      <c r="K89" s="2"/>
      <c r="L89" s="2"/>
      <c r="M89" s="2"/>
      <c r="N89" s="2"/>
      <c r="O89" s="2"/>
      <c r="P89" s="2"/>
      <c r="Q89" s="2"/>
      <c r="R89" s="2"/>
      <c r="S89" s="2"/>
      <c r="T89" s="2"/>
      <c r="U89" s="2"/>
      <c r="V89" s="2"/>
      <c r="W89" s="2"/>
      <c r="X89" s="2"/>
      <c r="Y89" s="2"/>
      <c r="Z89" s="2"/>
    </row>
    <row r="90" ht="15.75" customHeight="1">
      <c r="A90" s="1"/>
      <c r="B90" s="1"/>
      <c r="C90" s="1"/>
      <c r="D90" s="1"/>
      <c r="E90" s="1"/>
      <c r="F90" s="1"/>
      <c r="G90" s="2"/>
      <c r="H90" s="2"/>
      <c r="I90" s="2"/>
      <c r="J90" s="2"/>
      <c r="K90" s="2"/>
      <c r="L90" s="2"/>
      <c r="M90" s="2"/>
      <c r="N90" s="2"/>
      <c r="O90" s="2"/>
      <c r="P90" s="2"/>
      <c r="Q90" s="2"/>
      <c r="R90" s="2"/>
      <c r="S90" s="2"/>
      <c r="T90" s="2"/>
      <c r="U90" s="2"/>
      <c r="V90" s="2"/>
      <c r="W90" s="2"/>
      <c r="X90" s="2"/>
      <c r="Y90" s="2"/>
      <c r="Z90" s="2"/>
    </row>
    <row r="91" ht="15.75" customHeight="1">
      <c r="A91" s="1"/>
      <c r="B91" s="1"/>
      <c r="C91" s="1"/>
      <c r="D91" s="1"/>
      <c r="E91" s="1"/>
      <c r="F91" s="1"/>
      <c r="G91" s="2"/>
      <c r="H91" s="2"/>
      <c r="I91" s="2"/>
      <c r="J91" s="2"/>
      <c r="K91" s="2"/>
      <c r="L91" s="2"/>
      <c r="M91" s="2"/>
      <c r="N91" s="2"/>
      <c r="O91" s="2"/>
      <c r="P91" s="2"/>
      <c r="Q91" s="2"/>
      <c r="R91" s="2"/>
      <c r="S91" s="2"/>
      <c r="T91" s="2"/>
      <c r="U91" s="2"/>
      <c r="V91" s="2"/>
      <c r="W91" s="2"/>
      <c r="X91" s="2"/>
      <c r="Y91" s="2"/>
      <c r="Z91" s="2"/>
    </row>
    <row r="92" ht="15.75" customHeight="1">
      <c r="A92" s="1"/>
      <c r="B92" s="1"/>
      <c r="C92" s="1"/>
      <c r="D92" s="1"/>
      <c r="E92" s="1"/>
      <c r="F92" s="1"/>
      <c r="G92" s="2"/>
      <c r="H92" s="2"/>
      <c r="I92" s="2"/>
      <c r="J92" s="2"/>
      <c r="K92" s="2"/>
      <c r="L92" s="2"/>
      <c r="M92" s="2"/>
      <c r="N92" s="2"/>
      <c r="O92" s="2"/>
      <c r="P92" s="2"/>
      <c r="Q92" s="2"/>
      <c r="R92" s="2"/>
      <c r="S92" s="2"/>
      <c r="T92" s="2"/>
      <c r="U92" s="2"/>
      <c r="V92" s="2"/>
      <c r="W92" s="2"/>
      <c r="X92" s="2"/>
      <c r="Y92" s="2"/>
      <c r="Z92" s="2"/>
    </row>
    <row r="93" ht="15.75" customHeight="1">
      <c r="A93" s="1"/>
      <c r="B93" s="1"/>
      <c r="C93" s="1"/>
      <c r="D93" s="1"/>
      <c r="E93" s="1"/>
      <c r="F93" s="1"/>
      <c r="G93" s="2"/>
      <c r="H93" s="2"/>
      <c r="I93" s="2"/>
      <c r="J93" s="2"/>
      <c r="K93" s="2"/>
      <c r="L93" s="2"/>
      <c r="M93" s="2"/>
      <c r="N93" s="2"/>
      <c r="O93" s="2"/>
      <c r="P93" s="2"/>
      <c r="Q93" s="2"/>
      <c r="R93" s="2"/>
      <c r="S93" s="2"/>
      <c r="T93" s="2"/>
      <c r="U93" s="2"/>
      <c r="V93" s="2"/>
      <c r="W93" s="2"/>
      <c r="X93" s="2"/>
      <c r="Y93" s="2"/>
      <c r="Z93" s="2"/>
    </row>
    <row r="94" ht="15.75" customHeight="1">
      <c r="A94" s="1"/>
      <c r="B94" s="1"/>
      <c r="C94" s="1"/>
      <c r="D94" s="1"/>
      <c r="E94" s="1"/>
      <c r="F94" s="1"/>
      <c r="G94" s="2"/>
      <c r="H94" s="2"/>
      <c r="I94" s="2"/>
      <c r="J94" s="2"/>
      <c r="K94" s="2"/>
      <c r="L94" s="2"/>
      <c r="M94" s="2"/>
      <c r="N94" s="2"/>
      <c r="O94" s="2"/>
      <c r="P94" s="2"/>
      <c r="Q94" s="2"/>
      <c r="R94" s="2"/>
      <c r="S94" s="2"/>
      <c r="T94" s="2"/>
      <c r="U94" s="2"/>
      <c r="V94" s="2"/>
      <c r="W94" s="2"/>
      <c r="X94" s="2"/>
      <c r="Y94" s="2"/>
      <c r="Z94" s="2"/>
    </row>
    <row r="95" ht="15.75" customHeight="1">
      <c r="A95" s="1"/>
      <c r="B95" s="1"/>
      <c r="C95" s="1"/>
      <c r="D95" s="1"/>
      <c r="E95" s="1"/>
      <c r="F95" s="1"/>
      <c r="G95" s="2"/>
      <c r="H95" s="2"/>
      <c r="I95" s="2"/>
      <c r="J95" s="2"/>
      <c r="K95" s="2"/>
      <c r="L95" s="2"/>
      <c r="M95" s="2"/>
      <c r="N95" s="2"/>
      <c r="O95" s="2"/>
      <c r="P95" s="2"/>
      <c r="Q95" s="2"/>
      <c r="R95" s="2"/>
      <c r="S95" s="2"/>
      <c r="T95" s="2"/>
      <c r="U95" s="2"/>
      <c r="V95" s="2"/>
      <c r="W95" s="2"/>
      <c r="X95" s="2"/>
      <c r="Y95" s="2"/>
      <c r="Z95" s="2"/>
    </row>
    <row r="96" ht="15.75" customHeight="1">
      <c r="A96" s="1"/>
      <c r="B96" s="1"/>
      <c r="C96" s="1"/>
      <c r="D96" s="1"/>
      <c r="E96" s="1"/>
      <c r="F96" s="1"/>
      <c r="G96" s="2"/>
      <c r="H96" s="2"/>
      <c r="I96" s="2"/>
      <c r="J96" s="2"/>
      <c r="K96" s="2"/>
      <c r="L96" s="2"/>
      <c r="M96" s="2"/>
      <c r="N96" s="2"/>
      <c r="O96" s="2"/>
      <c r="P96" s="2"/>
      <c r="Q96" s="2"/>
      <c r="R96" s="2"/>
      <c r="S96" s="2"/>
      <c r="T96" s="2"/>
      <c r="U96" s="2"/>
      <c r="V96" s="2"/>
      <c r="W96" s="2"/>
      <c r="X96" s="2"/>
      <c r="Y96" s="2"/>
      <c r="Z96" s="2"/>
    </row>
    <row r="97" ht="15.75" customHeight="1">
      <c r="A97" s="1"/>
      <c r="B97" s="1"/>
      <c r="C97" s="1"/>
      <c r="D97" s="1"/>
      <c r="E97" s="1"/>
      <c r="F97" s="1"/>
      <c r="G97" s="2"/>
      <c r="H97" s="2"/>
      <c r="I97" s="2"/>
      <c r="J97" s="2"/>
      <c r="K97" s="2"/>
      <c r="L97" s="2"/>
      <c r="M97" s="2"/>
      <c r="N97" s="2"/>
      <c r="O97" s="2"/>
      <c r="P97" s="2"/>
      <c r="Q97" s="2"/>
      <c r="R97" s="2"/>
      <c r="S97" s="2"/>
      <c r="T97" s="2"/>
      <c r="U97" s="2"/>
      <c r="V97" s="2"/>
      <c r="W97" s="2"/>
      <c r="X97" s="2"/>
      <c r="Y97" s="2"/>
      <c r="Z97" s="2"/>
    </row>
    <row r="98" ht="15.75" customHeight="1">
      <c r="A98" s="1"/>
      <c r="B98" s="1"/>
      <c r="C98" s="1"/>
      <c r="D98" s="1"/>
      <c r="E98" s="1"/>
      <c r="F98" s="1"/>
      <c r="G98" s="2"/>
      <c r="H98" s="2"/>
      <c r="I98" s="2"/>
      <c r="J98" s="2"/>
      <c r="K98" s="2"/>
      <c r="L98" s="2"/>
      <c r="M98" s="2"/>
      <c r="N98" s="2"/>
      <c r="O98" s="2"/>
      <c r="P98" s="2"/>
      <c r="Q98" s="2"/>
      <c r="R98" s="2"/>
      <c r="S98" s="2"/>
      <c r="T98" s="2"/>
      <c r="U98" s="2"/>
      <c r="V98" s="2"/>
      <c r="W98" s="2"/>
      <c r="X98" s="2"/>
      <c r="Y98" s="2"/>
      <c r="Z98" s="2"/>
    </row>
    <row r="99" ht="15.75" customHeight="1">
      <c r="A99" s="1"/>
      <c r="B99" s="1"/>
      <c r="C99" s="1"/>
      <c r="D99" s="1"/>
      <c r="E99" s="1"/>
      <c r="F99" s="1"/>
      <c r="G99" s="2"/>
      <c r="H99" s="2"/>
      <c r="I99" s="2"/>
      <c r="J99" s="2"/>
      <c r="K99" s="2"/>
      <c r="L99" s="2"/>
      <c r="M99" s="2"/>
      <c r="N99" s="2"/>
      <c r="O99" s="2"/>
      <c r="P99" s="2"/>
      <c r="Q99" s="2"/>
      <c r="R99" s="2"/>
      <c r="S99" s="2"/>
      <c r="T99" s="2"/>
      <c r="U99" s="2"/>
      <c r="V99" s="2"/>
      <c r="W99" s="2"/>
      <c r="X99" s="2"/>
      <c r="Y99" s="2"/>
      <c r="Z99" s="2"/>
    </row>
    <row r="100" ht="15.75" customHeight="1">
      <c r="A100" s="1"/>
      <c r="B100" s="1"/>
      <c r="C100" s="1"/>
      <c r="D100" s="1"/>
      <c r="E100" s="1"/>
      <c r="F100" s="1"/>
      <c r="G100" s="2"/>
      <c r="H100" s="2"/>
      <c r="I100" s="2"/>
      <c r="J100" s="2"/>
      <c r="K100" s="2"/>
      <c r="L100" s="2"/>
      <c r="M100" s="2"/>
      <c r="N100" s="2"/>
      <c r="O100" s="2"/>
      <c r="P100" s="2"/>
      <c r="Q100" s="2"/>
      <c r="R100" s="2"/>
      <c r="S100" s="2"/>
      <c r="T100" s="2"/>
      <c r="U100" s="2"/>
      <c r="V100" s="2"/>
      <c r="W100" s="2"/>
      <c r="X100" s="2"/>
      <c r="Y100" s="2"/>
      <c r="Z100" s="2"/>
    </row>
    <row r="101" ht="15.75" customHeight="1">
      <c r="A101" s="1"/>
      <c r="B101" s="1"/>
      <c r="C101" s="1"/>
      <c r="D101" s="1"/>
      <c r="E101" s="1"/>
      <c r="F101" s="1"/>
      <c r="G101" s="2"/>
      <c r="H101" s="2"/>
      <c r="I101" s="2"/>
      <c r="J101" s="2"/>
      <c r="K101" s="2"/>
      <c r="L101" s="2"/>
      <c r="M101" s="2"/>
      <c r="N101" s="2"/>
      <c r="O101" s="2"/>
      <c r="P101" s="2"/>
      <c r="Q101" s="2"/>
      <c r="R101" s="2"/>
      <c r="S101" s="2"/>
      <c r="T101" s="2"/>
      <c r="U101" s="2"/>
      <c r="V101" s="2"/>
      <c r="W101" s="2"/>
      <c r="X101" s="2"/>
      <c r="Y101" s="2"/>
      <c r="Z101" s="2"/>
    </row>
    <row r="102" ht="15.75" customHeight="1">
      <c r="A102" s="1"/>
      <c r="B102" s="1"/>
      <c r="C102" s="1"/>
      <c r="D102" s="1"/>
      <c r="E102" s="1"/>
      <c r="F102" s="1"/>
      <c r="G102" s="2"/>
      <c r="H102" s="2"/>
      <c r="I102" s="2"/>
      <c r="J102" s="2"/>
      <c r="K102" s="2"/>
      <c r="L102" s="2"/>
      <c r="M102" s="2"/>
      <c r="N102" s="2"/>
      <c r="O102" s="2"/>
      <c r="P102" s="2"/>
      <c r="Q102" s="2"/>
      <c r="R102" s="2"/>
      <c r="S102" s="2"/>
      <c r="T102" s="2"/>
      <c r="U102" s="2"/>
      <c r="V102" s="2"/>
      <c r="W102" s="2"/>
      <c r="X102" s="2"/>
      <c r="Y102" s="2"/>
      <c r="Z102" s="2"/>
    </row>
    <row r="103" ht="15.75" customHeight="1">
      <c r="A103" s="1"/>
      <c r="B103" s="1"/>
      <c r="C103" s="1"/>
      <c r="D103" s="1"/>
      <c r="E103" s="1"/>
      <c r="F103" s="1"/>
      <c r="G103" s="2"/>
      <c r="H103" s="2"/>
      <c r="I103" s="2"/>
      <c r="J103" s="2"/>
      <c r="K103" s="2"/>
      <c r="L103" s="2"/>
      <c r="M103" s="2"/>
      <c r="N103" s="2"/>
      <c r="O103" s="2"/>
      <c r="P103" s="2"/>
      <c r="Q103" s="2"/>
      <c r="R103" s="2"/>
      <c r="S103" s="2"/>
      <c r="T103" s="2"/>
      <c r="U103" s="2"/>
      <c r="V103" s="2"/>
      <c r="W103" s="2"/>
      <c r="X103" s="2"/>
      <c r="Y103" s="2"/>
      <c r="Z103" s="2"/>
    </row>
    <row r="104" ht="15.75" customHeight="1">
      <c r="A104" s="1"/>
      <c r="B104" s="1"/>
      <c r="C104" s="1"/>
      <c r="D104" s="1"/>
      <c r="E104" s="1"/>
      <c r="F104" s="1"/>
      <c r="G104" s="2"/>
      <c r="H104" s="2"/>
      <c r="I104" s="2"/>
      <c r="J104" s="2"/>
      <c r="K104" s="2"/>
      <c r="L104" s="2"/>
      <c r="M104" s="2"/>
      <c r="N104" s="2"/>
      <c r="O104" s="2"/>
      <c r="P104" s="2"/>
      <c r="Q104" s="2"/>
      <c r="R104" s="2"/>
      <c r="S104" s="2"/>
      <c r="T104" s="2"/>
      <c r="U104" s="2"/>
      <c r="V104" s="2"/>
      <c r="W104" s="2"/>
      <c r="X104" s="2"/>
      <c r="Y104" s="2"/>
      <c r="Z104" s="2"/>
    </row>
    <row r="105" ht="15.75" customHeight="1">
      <c r="A105" s="1"/>
      <c r="B105" s="1"/>
      <c r="C105" s="1"/>
      <c r="D105" s="1"/>
      <c r="E105" s="1"/>
      <c r="F105" s="1"/>
      <c r="G105" s="2"/>
      <c r="H105" s="2"/>
      <c r="I105" s="2"/>
      <c r="J105" s="2"/>
      <c r="K105" s="2"/>
      <c r="L105" s="2"/>
      <c r="M105" s="2"/>
      <c r="N105" s="2"/>
      <c r="O105" s="2"/>
      <c r="P105" s="2"/>
      <c r="Q105" s="2"/>
      <c r="R105" s="2"/>
      <c r="S105" s="2"/>
      <c r="T105" s="2"/>
      <c r="U105" s="2"/>
      <c r="V105" s="2"/>
      <c r="W105" s="2"/>
      <c r="X105" s="2"/>
      <c r="Y105" s="2"/>
      <c r="Z105" s="2"/>
    </row>
    <row r="106" ht="15.75" customHeight="1">
      <c r="A106" s="1"/>
      <c r="B106" s="1"/>
      <c r="C106" s="1"/>
      <c r="D106" s="1"/>
      <c r="E106" s="1"/>
      <c r="F106" s="1"/>
      <c r="G106" s="2"/>
      <c r="H106" s="2"/>
      <c r="I106" s="2"/>
      <c r="J106" s="2"/>
      <c r="K106" s="2"/>
      <c r="L106" s="2"/>
      <c r="M106" s="2"/>
      <c r="N106" s="2"/>
      <c r="O106" s="2"/>
      <c r="P106" s="2"/>
      <c r="Q106" s="2"/>
      <c r="R106" s="2"/>
      <c r="S106" s="2"/>
      <c r="T106" s="2"/>
      <c r="U106" s="2"/>
      <c r="V106" s="2"/>
      <c r="W106" s="2"/>
      <c r="X106" s="2"/>
      <c r="Y106" s="2"/>
      <c r="Z106" s="2"/>
    </row>
    <row r="107" ht="15.75" customHeight="1">
      <c r="A107" s="1"/>
      <c r="B107" s="1"/>
      <c r="C107" s="1"/>
      <c r="D107" s="1"/>
      <c r="E107" s="1"/>
      <c r="F107" s="1"/>
      <c r="G107" s="2"/>
      <c r="H107" s="2"/>
      <c r="I107" s="2"/>
      <c r="J107" s="2"/>
      <c r="K107" s="2"/>
      <c r="L107" s="2"/>
      <c r="M107" s="2"/>
      <c r="N107" s="2"/>
      <c r="O107" s="2"/>
      <c r="P107" s="2"/>
      <c r="Q107" s="2"/>
      <c r="R107" s="2"/>
      <c r="S107" s="2"/>
      <c r="T107" s="2"/>
      <c r="U107" s="2"/>
      <c r="V107" s="2"/>
      <c r="W107" s="2"/>
      <c r="X107" s="2"/>
      <c r="Y107" s="2"/>
      <c r="Z107" s="2"/>
    </row>
    <row r="108" ht="15.75" customHeight="1">
      <c r="A108" s="1"/>
      <c r="B108" s="1"/>
      <c r="C108" s="1"/>
      <c r="D108" s="1"/>
      <c r="E108" s="1"/>
      <c r="F108" s="1"/>
      <c r="G108" s="2"/>
      <c r="H108" s="2"/>
      <c r="I108" s="2"/>
      <c r="J108" s="2"/>
      <c r="K108" s="2"/>
      <c r="L108" s="2"/>
      <c r="M108" s="2"/>
      <c r="N108" s="2"/>
      <c r="O108" s="2"/>
      <c r="P108" s="2"/>
      <c r="Q108" s="2"/>
      <c r="R108" s="2"/>
      <c r="S108" s="2"/>
      <c r="T108" s="2"/>
      <c r="U108" s="2"/>
      <c r="V108" s="2"/>
      <c r="W108" s="2"/>
      <c r="X108" s="2"/>
      <c r="Y108" s="2"/>
      <c r="Z108" s="2"/>
    </row>
    <row r="109" ht="15.75" customHeight="1">
      <c r="A109" s="1"/>
      <c r="B109" s="1"/>
      <c r="C109" s="1"/>
      <c r="D109" s="1"/>
      <c r="E109" s="1"/>
      <c r="F109" s="1"/>
      <c r="G109" s="2"/>
      <c r="H109" s="2"/>
      <c r="I109" s="2"/>
      <c r="J109" s="2"/>
      <c r="K109" s="2"/>
      <c r="L109" s="2"/>
      <c r="M109" s="2"/>
      <c r="N109" s="2"/>
      <c r="O109" s="2"/>
      <c r="P109" s="2"/>
      <c r="Q109" s="2"/>
      <c r="R109" s="2"/>
      <c r="S109" s="2"/>
      <c r="T109" s="2"/>
      <c r="U109" s="2"/>
      <c r="V109" s="2"/>
      <c r="W109" s="2"/>
      <c r="X109" s="2"/>
      <c r="Y109" s="2"/>
      <c r="Z109" s="2"/>
    </row>
    <row r="110" ht="15.75" customHeight="1">
      <c r="A110" s="1"/>
      <c r="B110" s="1"/>
      <c r="C110" s="1"/>
      <c r="D110" s="1"/>
      <c r="E110" s="1"/>
      <c r="F110" s="1"/>
      <c r="G110" s="2"/>
      <c r="H110" s="2"/>
      <c r="I110" s="2"/>
      <c r="J110" s="2"/>
      <c r="K110" s="2"/>
      <c r="L110" s="2"/>
      <c r="M110" s="2"/>
      <c r="N110" s="2"/>
      <c r="O110" s="2"/>
      <c r="P110" s="2"/>
      <c r="Q110" s="2"/>
      <c r="R110" s="2"/>
      <c r="S110" s="2"/>
      <c r="T110" s="2"/>
      <c r="U110" s="2"/>
      <c r="V110" s="2"/>
      <c r="W110" s="2"/>
      <c r="X110" s="2"/>
      <c r="Y110" s="2"/>
      <c r="Z110" s="2"/>
    </row>
    <row r="111" ht="15.75" customHeight="1">
      <c r="A111" s="1"/>
      <c r="B111" s="1"/>
      <c r="C111" s="1"/>
      <c r="D111" s="1"/>
      <c r="E111" s="1"/>
      <c r="F111" s="1"/>
      <c r="G111" s="2"/>
      <c r="H111" s="2"/>
      <c r="I111" s="2"/>
      <c r="J111" s="2"/>
      <c r="K111" s="2"/>
      <c r="L111" s="2"/>
      <c r="M111" s="2"/>
      <c r="N111" s="2"/>
      <c r="O111" s="2"/>
      <c r="P111" s="2"/>
      <c r="Q111" s="2"/>
      <c r="R111" s="2"/>
      <c r="S111" s="2"/>
      <c r="T111" s="2"/>
      <c r="U111" s="2"/>
      <c r="V111" s="2"/>
      <c r="W111" s="2"/>
      <c r="X111" s="2"/>
      <c r="Y111" s="2"/>
      <c r="Z111" s="2"/>
    </row>
    <row r="112" ht="15.75" customHeight="1">
      <c r="A112" s="1"/>
      <c r="B112" s="1"/>
      <c r="C112" s="1"/>
      <c r="D112" s="1"/>
      <c r="E112" s="1"/>
      <c r="F112" s="1"/>
      <c r="G112" s="2"/>
      <c r="H112" s="2"/>
      <c r="I112" s="2"/>
      <c r="J112" s="2"/>
      <c r="K112" s="2"/>
      <c r="L112" s="2"/>
      <c r="M112" s="2"/>
      <c r="N112" s="2"/>
      <c r="O112" s="2"/>
      <c r="P112" s="2"/>
      <c r="Q112" s="2"/>
      <c r="R112" s="2"/>
      <c r="S112" s="2"/>
      <c r="T112" s="2"/>
      <c r="U112" s="2"/>
      <c r="V112" s="2"/>
      <c r="W112" s="2"/>
      <c r="X112" s="2"/>
      <c r="Y112" s="2"/>
      <c r="Z112" s="2"/>
    </row>
    <row r="113" ht="15.75" customHeight="1">
      <c r="A113" s="1"/>
      <c r="B113" s="1"/>
      <c r="C113" s="1"/>
      <c r="D113" s="1"/>
      <c r="E113" s="1"/>
      <c r="F113" s="1"/>
      <c r="G113" s="2"/>
      <c r="H113" s="2"/>
      <c r="I113" s="2"/>
      <c r="J113" s="2"/>
      <c r="K113" s="2"/>
      <c r="L113" s="2"/>
      <c r="M113" s="2"/>
      <c r="N113" s="2"/>
      <c r="O113" s="2"/>
      <c r="P113" s="2"/>
      <c r="Q113" s="2"/>
      <c r="R113" s="2"/>
      <c r="S113" s="2"/>
      <c r="T113" s="2"/>
      <c r="U113" s="2"/>
      <c r="V113" s="2"/>
      <c r="W113" s="2"/>
      <c r="X113" s="2"/>
      <c r="Y113" s="2"/>
      <c r="Z113" s="2"/>
    </row>
    <row r="114" ht="15.75" customHeight="1">
      <c r="A114" s="1"/>
      <c r="B114" s="1"/>
      <c r="C114" s="1"/>
      <c r="D114" s="1"/>
      <c r="E114" s="1"/>
      <c r="F114" s="1"/>
      <c r="G114" s="2"/>
      <c r="H114" s="2"/>
      <c r="I114" s="2"/>
      <c r="J114" s="2"/>
      <c r="K114" s="2"/>
      <c r="L114" s="2"/>
      <c r="M114" s="2"/>
      <c r="N114" s="2"/>
      <c r="O114" s="2"/>
      <c r="P114" s="2"/>
      <c r="Q114" s="2"/>
      <c r="R114" s="2"/>
      <c r="S114" s="2"/>
      <c r="T114" s="2"/>
      <c r="U114" s="2"/>
      <c r="V114" s="2"/>
      <c r="W114" s="2"/>
      <c r="X114" s="2"/>
      <c r="Y114" s="2"/>
      <c r="Z114" s="2"/>
    </row>
    <row r="115" ht="15.75" customHeight="1">
      <c r="A115" s="1"/>
      <c r="B115" s="1"/>
      <c r="C115" s="1"/>
      <c r="D115" s="1"/>
      <c r="E115" s="1"/>
      <c r="F115" s="1"/>
      <c r="G115" s="2"/>
      <c r="H115" s="2"/>
      <c r="I115" s="2"/>
      <c r="J115" s="2"/>
      <c r="K115" s="2"/>
      <c r="L115" s="2"/>
      <c r="M115" s="2"/>
      <c r="N115" s="2"/>
      <c r="O115" s="2"/>
      <c r="P115" s="2"/>
      <c r="Q115" s="2"/>
      <c r="R115" s="2"/>
      <c r="S115" s="2"/>
      <c r="T115" s="2"/>
      <c r="U115" s="2"/>
      <c r="V115" s="2"/>
      <c r="W115" s="2"/>
      <c r="X115" s="2"/>
      <c r="Y115" s="2"/>
      <c r="Z115" s="2"/>
    </row>
    <row r="116" ht="15.75" customHeight="1">
      <c r="A116" s="1"/>
      <c r="B116" s="1"/>
      <c r="C116" s="1"/>
      <c r="D116" s="1"/>
      <c r="E116" s="1"/>
      <c r="F116" s="1"/>
      <c r="G116" s="2"/>
      <c r="H116" s="2"/>
      <c r="I116" s="2"/>
      <c r="J116" s="2"/>
      <c r="K116" s="2"/>
      <c r="L116" s="2"/>
      <c r="M116" s="2"/>
      <c r="N116" s="2"/>
      <c r="O116" s="2"/>
      <c r="P116" s="2"/>
      <c r="Q116" s="2"/>
      <c r="R116" s="2"/>
      <c r="S116" s="2"/>
      <c r="T116" s="2"/>
      <c r="U116" s="2"/>
      <c r="V116" s="2"/>
      <c r="W116" s="2"/>
      <c r="X116" s="2"/>
      <c r="Y116" s="2"/>
      <c r="Z116" s="2"/>
    </row>
    <row r="117" ht="15.75" customHeight="1">
      <c r="A117" s="1"/>
      <c r="B117" s="1"/>
      <c r="C117" s="1"/>
      <c r="D117" s="1"/>
      <c r="E117" s="1"/>
      <c r="F117" s="1"/>
      <c r="G117" s="2"/>
      <c r="H117" s="2"/>
      <c r="I117" s="2"/>
      <c r="J117" s="2"/>
      <c r="K117" s="2"/>
      <c r="L117" s="2"/>
      <c r="M117" s="2"/>
      <c r="N117" s="2"/>
      <c r="O117" s="2"/>
      <c r="P117" s="2"/>
      <c r="Q117" s="2"/>
      <c r="R117" s="2"/>
      <c r="S117" s="2"/>
      <c r="T117" s="2"/>
      <c r="U117" s="2"/>
      <c r="V117" s="2"/>
      <c r="W117" s="2"/>
      <c r="X117" s="2"/>
      <c r="Y117" s="2"/>
      <c r="Z117" s="2"/>
    </row>
    <row r="118" ht="15.75" customHeight="1">
      <c r="A118" s="1"/>
      <c r="B118" s="1"/>
      <c r="C118" s="1"/>
      <c r="D118" s="1"/>
      <c r="E118" s="1"/>
      <c r="F118" s="1"/>
      <c r="G118" s="2"/>
      <c r="H118" s="2"/>
      <c r="I118" s="2"/>
      <c r="J118" s="2"/>
      <c r="K118" s="2"/>
      <c r="L118" s="2"/>
      <c r="M118" s="2"/>
      <c r="N118" s="2"/>
      <c r="O118" s="2"/>
      <c r="P118" s="2"/>
      <c r="Q118" s="2"/>
      <c r="R118" s="2"/>
      <c r="S118" s="2"/>
      <c r="T118" s="2"/>
      <c r="U118" s="2"/>
      <c r="V118" s="2"/>
      <c r="W118" s="2"/>
      <c r="X118" s="2"/>
      <c r="Y118" s="2"/>
      <c r="Z118" s="2"/>
    </row>
    <row r="119" ht="15.75" customHeight="1">
      <c r="A119" s="1"/>
      <c r="B119" s="1"/>
      <c r="C119" s="1"/>
      <c r="D119" s="1"/>
      <c r="E119" s="1"/>
      <c r="F119" s="1"/>
      <c r="G119" s="2"/>
      <c r="H119" s="2"/>
      <c r="I119" s="2"/>
      <c r="J119" s="2"/>
      <c r="K119" s="2"/>
      <c r="L119" s="2"/>
      <c r="M119" s="2"/>
      <c r="N119" s="2"/>
      <c r="O119" s="2"/>
      <c r="P119" s="2"/>
      <c r="Q119" s="2"/>
      <c r="R119" s="2"/>
      <c r="S119" s="2"/>
      <c r="T119" s="2"/>
      <c r="U119" s="2"/>
      <c r="V119" s="2"/>
      <c r="W119" s="2"/>
      <c r="X119" s="2"/>
      <c r="Y119" s="2"/>
      <c r="Z119" s="2"/>
    </row>
    <row r="120" ht="15.75" customHeight="1">
      <c r="A120" s="1"/>
      <c r="B120" s="1"/>
      <c r="C120" s="1"/>
      <c r="D120" s="1"/>
      <c r="E120" s="1"/>
      <c r="F120" s="1"/>
      <c r="G120" s="2"/>
      <c r="H120" s="2"/>
      <c r="I120" s="2"/>
      <c r="J120" s="2"/>
      <c r="K120" s="2"/>
      <c r="L120" s="2"/>
      <c r="M120" s="2"/>
      <c r="N120" s="2"/>
      <c r="O120" s="2"/>
      <c r="P120" s="2"/>
      <c r="Q120" s="2"/>
      <c r="R120" s="2"/>
      <c r="S120" s="2"/>
      <c r="T120" s="2"/>
      <c r="U120" s="2"/>
      <c r="V120" s="2"/>
      <c r="W120" s="2"/>
      <c r="X120" s="2"/>
      <c r="Y120" s="2"/>
      <c r="Z120" s="2"/>
    </row>
    <row r="121" ht="15.75" customHeight="1">
      <c r="A121" s="1"/>
      <c r="B121" s="1"/>
      <c r="C121" s="1"/>
      <c r="D121" s="1"/>
      <c r="E121" s="1"/>
      <c r="F121" s="1"/>
      <c r="G121" s="2"/>
      <c r="H121" s="2"/>
      <c r="I121" s="2"/>
      <c r="J121" s="2"/>
      <c r="K121" s="2"/>
      <c r="L121" s="2"/>
      <c r="M121" s="2"/>
      <c r="N121" s="2"/>
      <c r="O121" s="2"/>
      <c r="P121" s="2"/>
      <c r="Q121" s="2"/>
      <c r="R121" s="2"/>
      <c r="S121" s="2"/>
      <c r="T121" s="2"/>
      <c r="U121" s="2"/>
      <c r="V121" s="2"/>
      <c r="W121" s="2"/>
      <c r="X121" s="2"/>
      <c r="Y121" s="2"/>
      <c r="Z121" s="2"/>
    </row>
    <row r="122" ht="15.75" customHeight="1">
      <c r="A122" s="1"/>
      <c r="B122" s="1"/>
      <c r="C122" s="1"/>
      <c r="D122" s="1"/>
      <c r="E122" s="1"/>
      <c r="F122" s="1"/>
      <c r="G122" s="2"/>
      <c r="H122" s="2"/>
      <c r="I122" s="2"/>
      <c r="J122" s="2"/>
      <c r="K122" s="2"/>
      <c r="L122" s="2"/>
      <c r="M122" s="2"/>
      <c r="N122" s="2"/>
      <c r="O122" s="2"/>
      <c r="P122" s="2"/>
      <c r="Q122" s="2"/>
      <c r="R122" s="2"/>
      <c r="S122" s="2"/>
      <c r="T122" s="2"/>
      <c r="U122" s="2"/>
      <c r="V122" s="2"/>
      <c r="W122" s="2"/>
      <c r="X122" s="2"/>
      <c r="Y122" s="2"/>
      <c r="Z122" s="2"/>
    </row>
    <row r="123" ht="15.75" customHeight="1">
      <c r="A123" s="1"/>
      <c r="B123" s="1"/>
      <c r="C123" s="1"/>
      <c r="D123" s="1"/>
      <c r="E123" s="1"/>
      <c r="F123" s="1"/>
      <c r="G123" s="2"/>
      <c r="H123" s="2"/>
      <c r="I123" s="2"/>
      <c r="J123" s="2"/>
      <c r="K123" s="2"/>
      <c r="L123" s="2"/>
      <c r="M123" s="2"/>
      <c r="N123" s="2"/>
      <c r="O123" s="2"/>
      <c r="P123" s="2"/>
      <c r="Q123" s="2"/>
      <c r="R123" s="2"/>
      <c r="S123" s="2"/>
      <c r="T123" s="2"/>
      <c r="U123" s="2"/>
      <c r="V123" s="2"/>
      <c r="W123" s="2"/>
      <c r="X123" s="2"/>
      <c r="Y123" s="2"/>
      <c r="Z123" s="2"/>
    </row>
    <row r="124" ht="15.75" customHeight="1">
      <c r="A124" s="1"/>
      <c r="B124" s="1"/>
      <c r="C124" s="1"/>
      <c r="D124" s="1"/>
      <c r="E124" s="1"/>
      <c r="F124" s="1"/>
      <c r="G124" s="2"/>
      <c r="H124" s="2"/>
      <c r="I124" s="2"/>
      <c r="J124" s="2"/>
      <c r="K124" s="2"/>
      <c r="L124" s="2"/>
      <c r="M124" s="2"/>
      <c r="N124" s="2"/>
      <c r="O124" s="2"/>
      <c r="P124" s="2"/>
      <c r="Q124" s="2"/>
      <c r="R124" s="2"/>
      <c r="S124" s="2"/>
      <c r="T124" s="2"/>
      <c r="U124" s="2"/>
      <c r="V124" s="2"/>
      <c r="W124" s="2"/>
      <c r="X124" s="2"/>
      <c r="Y124" s="2"/>
      <c r="Z124" s="2"/>
    </row>
    <row r="125" ht="15.75" customHeight="1">
      <c r="A125" s="1"/>
      <c r="B125" s="1"/>
      <c r="C125" s="1"/>
      <c r="D125" s="1"/>
      <c r="E125" s="1"/>
      <c r="F125" s="1"/>
      <c r="G125" s="2"/>
      <c r="H125" s="2"/>
      <c r="I125" s="2"/>
      <c r="J125" s="2"/>
      <c r="K125" s="2"/>
      <c r="L125" s="2"/>
      <c r="M125" s="2"/>
      <c r="N125" s="2"/>
      <c r="O125" s="2"/>
      <c r="P125" s="2"/>
      <c r="Q125" s="2"/>
      <c r="R125" s="2"/>
      <c r="S125" s="2"/>
      <c r="T125" s="2"/>
      <c r="U125" s="2"/>
      <c r="V125" s="2"/>
      <c r="W125" s="2"/>
      <c r="X125" s="2"/>
      <c r="Y125" s="2"/>
      <c r="Z125" s="2"/>
    </row>
    <row r="126" ht="15.75" customHeight="1">
      <c r="A126" s="1"/>
      <c r="B126" s="1"/>
      <c r="C126" s="1"/>
      <c r="D126" s="1"/>
      <c r="E126" s="1"/>
      <c r="F126" s="1"/>
      <c r="G126" s="2"/>
      <c r="H126" s="2"/>
      <c r="I126" s="2"/>
      <c r="J126" s="2"/>
      <c r="K126" s="2"/>
      <c r="L126" s="2"/>
      <c r="M126" s="2"/>
      <c r="N126" s="2"/>
      <c r="O126" s="2"/>
      <c r="P126" s="2"/>
      <c r="Q126" s="2"/>
      <c r="R126" s="2"/>
      <c r="S126" s="2"/>
      <c r="T126" s="2"/>
      <c r="U126" s="2"/>
      <c r="V126" s="2"/>
      <c r="W126" s="2"/>
      <c r="X126" s="2"/>
      <c r="Y126" s="2"/>
      <c r="Z126" s="2"/>
    </row>
    <row r="127" ht="15.75" customHeight="1">
      <c r="A127" s="1"/>
      <c r="B127" s="1"/>
      <c r="C127" s="1"/>
      <c r="D127" s="1"/>
      <c r="E127" s="1"/>
      <c r="F127" s="1"/>
      <c r="G127" s="2"/>
      <c r="H127" s="2"/>
      <c r="I127" s="2"/>
      <c r="J127" s="2"/>
      <c r="K127" s="2"/>
      <c r="L127" s="2"/>
      <c r="M127" s="2"/>
      <c r="N127" s="2"/>
      <c r="O127" s="2"/>
      <c r="P127" s="2"/>
      <c r="Q127" s="2"/>
      <c r="R127" s="2"/>
      <c r="S127" s="2"/>
      <c r="T127" s="2"/>
      <c r="U127" s="2"/>
      <c r="V127" s="2"/>
      <c r="W127" s="2"/>
      <c r="X127" s="2"/>
      <c r="Y127" s="2"/>
      <c r="Z127" s="2"/>
    </row>
    <row r="128" ht="15.75" customHeight="1">
      <c r="A128" s="1"/>
      <c r="B128" s="1"/>
      <c r="C128" s="1"/>
      <c r="D128" s="1"/>
      <c r="E128" s="1"/>
      <c r="F128" s="1"/>
      <c r="G128" s="2"/>
      <c r="H128" s="2"/>
      <c r="I128" s="2"/>
      <c r="J128" s="2"/>
      <c r="K128" s="2"/>
      <c r="L128" s="2"/>
      <c r="M128" s="2"/>
      <c r="N128" s="2"/>
      <c r="O128" s="2"/>
      <c r="P128" s="2"/>
      <c r="Q128" s="2"/>
      <c r="R128" s="2"/>
      <c r="S128" s="2"/>
      <c r="T128" s="2"/>
      <c r="U128" s="2"/>
      <c r="V128" s="2"/>
      <c r="W128" s="2"/>
      <c r="X128" s="2"/>
      <c r="Y128" s="2"/>
      <c r="Z128" s="2"/>
    </row>
    <row r="129" ht="15.75" customHeight="1">
      <c r="A129" s="1"/>
      <c r="B129" s="1"/>
      <c r="C129" s="1"/>
      <c r="D129" s="1"/>
      <c r="E129" s="1"/>
      <c r="F129" s="1"/>
      <c r="G129" s="2"/>
      <c r="H129" s="2"/>
      <c r="I129" s="2"/>
      <c r="J129" s="2"/>
      <c r="K129" s="2"/>
      <c r="L129" s="2"/>
      <c r="M129" s="2"/>
      <c r="N129" s="2"/>
      <c r="O129" s="2"/>
      <c r="P129" s="2"/>
      <c r="Q129" s="2"/>
      <c r="R129" s="2"/>
      <c r="S129" s="2"/>
      <c r="T129" s="2"/>
      <c r="U129" s="2"/>
      <c r="V129" s="2"/>
      <c r="W129" s="2"/>
      <c r="X129" s="2"/>
      <c r="Y129" s="2"/>
      <c r="Z129" s="2"/>
    </row>
    <row r="130" ht="15.75" customHeight="1">
      <c r="A130" s="1"/>
      <c r="B130" s="1"/>
      <c r="C130" s="1"/>
      <c r="D130" s="1"/>
      <c r="E130" s="1"/>
      <c r="F130" s="1"/>
      <c r="G130" s="2"/>
      <c r="H130" s="2"/>
      <c r="I130" s="2"/>
      <c r="J130" s="2"/>
      <c r="K130" s="2"/>
      <c r="L130" s="2"/>
      <c r="M130" s="2"/>
      <c r="N130" s="2"/>
      <c r="O130" s="2"/>
      <c r="P130" s="2"/>
      <c r="Q130" s="2"/>
      <c r="R130" s="2"/>
      <c r="S130" s="2"/>
      <c r="T130" s="2"/>
      <c r="U130" s="2"/>
      <c r="V130" s="2"/>
      <c r="W130" s="2"/>
      <c r="X130" s="2"/>
      <c r="Y130" s="2"/>
      <c r="Z130" s="2"/>
    </row>
    <row r="131" ht="15.75" customHeight="1">
      <c r="A131" s="1"/>
      <c r="B131" s="1"/>
      <c r="C131" s="1"/>
      <c r="D131" s="1"/>
      <c r="E131" s="1"/>
      <c r="F131" s="1"/>
      <c r="G131" s="2"/>
      <c r="H131" s="2"/>
      <c r="I131" s="2"/>
      <c r="J131" s="2"/>
      <c r="K131" s="2"/>
      <c r="L131" s="2"/>
      <c r="M131" s="2"/>
      <c r="N131" s="2"/>
      <c r="O131" s="2"/>
      <c r="P131" s="2"/>
      <c r="Q131" s="2"/>
      <c r="R131" s="2"/>
      <c r="S131" s="2"/>
      <c r="T131" s="2"/>
      <c r="U131" s="2"/>
      <c r="V131" s="2"/>
      <c r="W131" s="2"/>
      <c r="X131" s="2"/>
      <c r="Y131" s="2"/>
      <c r="Z131" s="2"/>
    </row>
    <row r="132" ht="15.75" customHeight="1">
      <c r="A132" s="1"/>
      <c r="B132" s="1"/>
      <c r="C132" s="1"/>
      <c r="D132" s="1"/>
      <c r="E132" s="1"/>
      <c r="F132" s="1"/>
      <c r="G132" s="2"/>
      <c r="H132" s="2"/>
      <c r="I132" s="2"/>
      <c r="J132" s="2"/>
      <c r="K132" s="2"/>
      <c r="L132" s="2"/>
      <c r="M132" s="2"/>
      <c r="N132" s="2"/>
      <c r="O132" s="2"/>
      <c r="P132" s="2"/>
      <c r="Q132" s="2"/>
      <c r="R132" s="2"/>
      <c r="S132" s="2"/>
      <c r="T132" s="2"/>
      <c r="U132" s="2"/>
      <c r="V132" s="2"/>
      <c r="W132" s="2"/>
      <c r="X132" s="2"/>
      <c r="Y132" s="2"/>
      <c r="Z132" s="2"/>
    </row>
    <row r="133" ht="15.75" customHeight="1">
      <c r="A133" s="1"/>
      <c r="B133" s="1"/>
      <c r="C133" s="1"/>
      <c r="D133" s="1"/>
      <c r="E133" s="1"/>
      <c r="F133" s="1"/>
      <c r="G133" s="2"/>
      <c r="H133" s="2"/>
      <c r="I133" s="2"/>
      <c r="J133" s="2"/>
      <c r="K133" s="2"/>
      <c r="L133" s="2"/>
      <c r="M133" s="2"/>
      <c r="N133" s="2"/>
      <c r="O133" s="2"/>
      <c r="P133" s="2"/>
      <c r="Q133" s="2"/>
      <c r="R133" s="2"/>
      <c r="S133" s="2"/>
      <c r="T133" s="2"/>
      <c r="U133" s="2"/>
      <c r="V133" s="2"/>
      <c r="W133" s="2"/>
      <c r="X133" s="2"/>
      <c r="Y133" s="2"/>
      <c r="Z133" s="2"/>
    </row>
    <row r="134" ht="15.75" customHeight="1">
      <c r="A134" s="1"/>
      <c r="B134" s="1"/>
      <c r="C134" s="1"/>
      <c r="D134" s="1"/>
      <c r="E134" s="1"/>
      <c r="F134" s="1"/>
      <c r="G134" s="2"/>
      <c r="H134" s="2"/>
      <c r="I134" s="2"/>
      <c r="J134" s="2"/>
      <c r="K134" s="2"/>
      <c r="L134" s="2"/>
      <c r="M134" s="2"/>
      <c r="N134" s="2"/>
      <c r="O134" s="2"/>
      <c r="P134" s="2"/>
      <c r="Q134" s="2"/>
      <c r="R134" s="2"/>
      <c r="S134" s="2"/>
      <c r="T134" s="2"/>
      <c r="U134" s="2"/>
      <c r="V134" s="2"/>
      <c r="W134" s="2"/>
      <c r="X134" s="2"/>
      <c r="Y134" s="2"/>
      <c r="Z134" s="2"/>
    </row>
    <row r="135" ht="15.75" customHeight="1">
      <c r="A135" s="1"/>
      <c r="B135" s="1"/>
      <c r="C135" s="1"/>
      <c r="D135" s="1"/>
      <c r="E135" s="1"/>
      <c r="F135" s="1"/>
      <c r="G135" s="2"/>
      <c r="H135" s="2"/>
      <c r="I135" s="2"/>
      <c r="J135" s="2"/>
      <c r="K135" s="2"/>
      <c r="L135" s="2"/>
      <c r="M135" s="2"/>
      <c r="N135" s="2"/>
      <c r="O135" s="2"/>
      <c r="P135" s="2"/>
      <c r="Q135" s="2"/>
      <c r="R135" s="2"/>
      <c r="S135" s="2"/>
      <c r="T135" s="2"/>
      <c r="U135" s="2"/>
      <c r="V135" s="2"/>
      <c r="W135" s="2"/>
      <c r="X135" s="2"/>
      <c r="Y135" s="2"/>
      <c r="Z135" s="2"/>
    </row>
    <row r="136" ht="15.75" customHeight="1">
      <c r="A136" s="1"/>
      <c r="B136" s="1"/>
      <c r="C136" s="1"/>
      <c r="D136" s="1"/>
      <c r="E136" s="1"/>
      <c r="F136" s="1"/>
      <c r="G136" s="2"/>
      <c r="H136" s="2"/>
      <c r="I136" s="2"/>
      <c r="J136" s="2"/>
      <c r="K136" s="2"/>
      <c r="L136" s="2"/>
      <c r="M136" s="2"/>
      <c r="N136" s="2"/>
      <c r="O136" s="2"/>
      <c r="P136" s="2"/>
      <c r="Q136" s="2"/>
      <c r="R136" s="2"/>
      <c r="S136" s="2"/>
      <c r="T136" s="2"/>
      <c r="U136" s="2"/>
      <c r="V136" s="2"/>
      <c r="W136" s="2"/>
      <c r="X136" s="2"/>
      <c r="Y136" s="2"/>
      <c r="Z136" s="2"/>
    </row>
    <row r="137" ht="15.75" customHeight="1">
      <c r="A137" s="1"/>
      <c r="B137" s="1"/>
      <c r="C137" s="1"/>
      <c r="D137" s="1"/>
      <c r="E137" s="1"/>
      <c r="F137" s="1"/>
      <c r="G137" s="2"/>
      <c r="H137" s="2"/>
      <c r="I137" s="2"/>
      <c r="J137" s="2"/>
      <c r="K137" s="2"/>
      <c r="L137" s="2"/>
      <c r="M137" s="2"/>
      <c r="N137" s="2"/>
      <c r="O137" s="2"/>
      <c r="P137" s="2"/>
      <c r="Q137" s="2"/>
      <c r="R137" s="2"/>
      <c r="S137" s="2"/>
      <c r="T137" s="2"/>
      <c r="U137" s="2"/>
      <c r="V137" s="2"/>
      <c r="W137" s="2"/>
      <c r="X137" s="2"/>
      <c r="Y137" s="2"/>
      <c r="Z137" s="2"/>
    </row>
    <row r="138" ht="15.75" customHeight="1">
      <c r="A138" s="1"/>
      <c r="B138" s="1"/>
      <c r="C138" s="1"/>
      <c r="D138" s="1"/>
      <c r="E138" s="1"/>
      <c r="F138" s="1"/>
      <c r="G138" s="2"/>
      <c r="H138" s="2"/>
      <c r="I138" s="2"/>
      <c r="J138" s="2"/>
      <c r="K138" s="2"/>
      <c r="L138" s="2"/>
      <c r="M138" s="2"/>
      <c r="N138" s="2"/>
      <c r="O138" s="2"/>
      <c r="P138" s="2"/>
      <c r="Q138" s="2"/>
      <c r="R138" s="2"/>
      <c r="S138" s="2"/>
      <c r="T138" s="2"/>
      <c r="U138" s="2"/>
      <c r="V138" s="2"/>
      <c r="W138" s="2"/>
      <c r="X138" s="2"/>
      <c r="Y138" s="2"/>
      <c r="Z138" s="2"/>
    </row>
    <row r="139" ht="15.75" customHeight="1">
      <c r="A139" s="1"/>
      <c r="B139" s="1"/>
      <c r="C139" s="1"/>
      <c r="D139" s="1"/>
      <c r="E139" s="1"/>
      <c r="F139" s="1"/>
      <c r="G139" s="2"/>
      <c r="H139" s="2"/>
      <c r="I139" s="2"/>
      <c r="J139" s="2"/>
      <c r="K139" s="2"/>
      <c r="L139" s="2"/>
      <c r="M139" s="2"/>
      <c r="N139" s="2"/>
      <c r="O139" s="2"/>
      <c r="P139" s="2"/>
      <c r="Q139" s="2"/>
      <c r="R139" s="2"/>
      <c r="S139" s="2"/>
      <c r="T139" s="2"/>
      <c r="U139" s="2"/>
      <c r="V139" s="2"/>
      <c r="W139" s="2"/>
      <c r="X139" s="2"/>
      <c r="Y139" s="2"/>
      <c r="Z139" s="2"/>
    </row>
    <row r="140" ht="15.75" customHeight="1">
      <c r="A140" s="1"/>
      <c r="B140" s="1"/>
      <c r="C140" s="1"/>
      <c r="D140" s="1"/>
      <c r="E140" s="1"/>
      <c r="F140" s="1"/>
      <c r="G140" s="2"/>
      <c r="H140" s="2"/>
      <c r="I140" s="2"/>
      <c r="J140" s="2"/>
      <c r="K140" s="2"/>
      <c r="L140" s="2"/>
      <c r="M140" s="2"/>
      <c r="N140" s="2"/>
      <c r="O140" s="2"/>
      <c r="P140" s="2"/>
      <c r="Q140" s="2"/>
      <c r="R140" s="2"/>
      <c r="S140" s="2"/>
      <c r="T140" s="2"/>
      <c r="U140" s="2"/>
      <c r="V140" s="2"/>
      <c r="W140" s="2"/>
      <c r="X140" s="2"/>
      <c r="Y140" s="2"/>
      <c r="Z140" s="2"/>
    </row>
    <row r="141" ht="15.75" customHeight="1">
      <c r="A141" s="1"/>
      <c r="B141" s="1"/>
      <c r="C141" s="1"/>
      <c r="D141" s="1"/>
      <c r="E141" s="1"/>
      <c r="F141" s="1"/>
      <c r="G141" s="2"/>
      <c r="H141" s="2"/>
      <c r="I141" s="2"/>
      <c r="J141" s="2"/>
      <c r="K141" s="2"/>
      <c r="L141" s="2"/>
      <c r="M141" s="2"/>
      <c r="N141" s="2"/>
      <c r="O141" s="2"/>
      <c r="P141" s="2"/>
      <c r="Q141" s="2"/>
      <c r="R141" s="2"/>
      <c r="S141" s="2"/>
      <c r="T141" s="2"/>
      <c r="U141" s="2"/>
      <c r="V141" s="2"/>
      <c r="W141" s="2"/>
      <c r="X141" s="2"/>
      <c r="Y141" s="2"/>
      <c r="Z141" s="2"/>
    </row>
    <row r="142" ht="15.75" customHeight="1">
      <c r="A142" s="1"/>
      <c r="B142" s="1"/>
      <c r="C142" s="1"/>
      <c r="D142" s="1"/>
      <c r="E142" s="1"/>
      <c r="F142" s="1"/>
      <c r="G142" s="2"/>
      <c r="H142" s="2"/>
      <c r="I142" s="2"/>
      <c r="J142" s="2"/>
      <c r="K142" s="2"/>
      <c r="L142" s="2"/>
      <c r="M142" s="2"/>
      <c r="N142" s="2"/>
      <c r="O142" s="2"/>
      <c r="P142" s="2"/>
      <c r="Q142" s="2"/>
      <c r="R142" s="2"/>
      <c r="S142" s="2"/>
      <c r="T142" s="2"/>
      <c r="U142" s="2"/>
      <c r="V142" s="2"/>
      <c r="W142" s="2"/>
      <c r="X142" s="2"/>
      <c r="Y142" s="2"/>
      <c r="Z142" s="2"/>
    </row>
    <row r="143" ht="15.75" customHeight="1">
      <c r="A143" s="1"/>
      <c r="B143" s="1"/>
      <c r="C143" s="1"/>
      <c r="D143" s="1"/>
      <c r="E143" s="1"/>
      <c r="F143" s="1"/>
      <c r="G143" s="2"/>
      <c r="H143" s="2"/>
      <c r="I143" s="2"/>
      <c r="J143" s="2"/>
      <c r="K143" s="2"/>
      <c r="L143" s="2"/>
      <c r="M143" s="2"/>
      <c r="N143" s="2"/>
      <c r="O143" s="2"/>
      <c r="P143" s="2"/>
      <c r="Q143" s="2"/>
      <c r="R143" s="2"/>
      <c r="S143" s="2"/>
      <c r="T143" s="2"/>
      <c r="U143" s="2"/>
      <c r="V143" s="2"/>
      <c r="W143" s="2"/>
      <c r="X143" s="2"/>
      <c r="Y143" s="2"/>
      <c r="Z143" s="2"/>
    </row>
    <row r="144" ht="15.75" customHeight="1">
      <c r="A144" s="1"/>
      <c r="B144" s="1"/>
      <c r="C144" s="1"/>
      <c r="D144" s="1"/>
      <c r="E144" s="1"/>
      <c r="F144" s="1"/>
      <c r="G144" s="2"/>
      <c r="H144" s="2"/>
      <c r="I144" s="2"/>
      <c r="J144" s="2"/>
      <c r="K144" s="2"/>
      <c r="L144" s="2"/>
      <c r="M144" s="2"/>
      <c r="N144" s="2"/>
      <c r="O144" s="2"/>
      <c r="P144" s="2"/>
      <c r="Q144" s="2"/>
      <c r="R144" s="2"/>
      <c r="S144" s="2"/>
      <c r="T144" s="2"/>
      <c r="U144" s="2"/>
      <c r="V144" s="2"/>
      <c r="W144" s="2"/>
      <c r="X144" s="2"/>
      <c r="Y144" s="2"/>
      <c r="Z144" s="2"/>
    </row>
    <row r="145" ht="15.75" customHeight="1">
      <c r="A145" s="1"/>
      <c r="B145" s="1"/>
      <c r="C145" s="1"/>
      <c r="D145" s="1"/>
      <c r="E145" s="1"/>
      <c r="F145" s="1"/>
      <c r="G145" s="2"/>
      <c r="H145" s="2"/>
      <c r="I145" s="2"/>
      <c r="J145" s="2"/>
      <c r="K145" s="2"/>
      <c r="L145" s="2"/>
      <c r="M145" s="2"/>
      <c r="N145" s="2"/>
      <c r="O145" s="2"/>
      <c r="P145" s="2"/>
      <c r="Q145" s="2"/>
      <c r="R145" s="2"/>
      <c r="S145" s="2"/>
      <c r="T145" s="2"/>
      <c r="U145" s="2"/>
      <c r="V145" s="2"/>
      <c r="W145" s="2"/>
      <c r="X145" s="2"/>
      <c r="Y145" s="2"/>
      <c r="Z145" s="2"/>
    </row>
    <row r="146" ht="15.75" customHeight="1">
      <c r="A146" s="1"/>
      <c r="B146" s="1"/>
      <c r="C146" s="1"/>
      <c r="D146" s="1"/>
      <c r="E146" s="1"/>
      <c r="F146" s="1"/>
      <c r="G146" s="2"/>
      <c r="H146" s="2"/>
      <c r="I146" s="2"/>
      <c r="J146" s="2"/>
      <c r="K146" s="2"/>
      <c r="L146" s="2"/>
      <c r="M146" s="2"/>
      <c r="N146" s="2"/>
      <c r="O146" s="2"/>
      <c r="P146" s="2"/>
      <c r="Q146" s="2"/>
      <c r="R146" s="2"/>
      <c r="S146" s="2"/>
      <c r="T146" s="2"/>
      <c r="U146" s="2"/>
      <c r="V146" s="2"/>
      <c r="W146" s="2"/>
      <c r="X146" s="2"/>
      <c r="Y146" s="2"/>
      <c r="Z146" s="2"/>
    </row>
    <row r="147" ht="15.75" customHeight="1">
      <c r="A147" s="1"/>
      <c r="B147" s="1"/>
      <c r="C147" s="1"/>
      <c r="D147" s="1"/>
      <c r="E147" s="1"/>
      <c r="F147" s="1"/>
      <c r="G147" s="2"/>
      <c r="H147" s="2"/>
      <c r="I147" s="2"/>
      <c r="J147" s="2"/>
      <c r="K147" s="2"/>
      <c r="L147" s="2"/>
      <c r="M147" s="2"/>
      <c r="N147" s="2"/>
      <c r="O147" s="2"/>
      <c r="P147" s="2"/>
      <c r="Q147" s="2"/>
      <c r="R147" s="2"/>
      <c r="S147" s="2"/>
      <c r="T147" s="2"/>
      <c r="U147" s="2"/>
      <c r="V147" s="2"/>
      <c r="W147" s="2"/>
      <c r="X147" s="2"/>
      <c r="Y147" s="2"/>
      <c r="Z147" s="2"/>
    </row>
    <row r="148" ht="15.75" customHeight="1">
      <c r="A148" s="1"/>
      <c r="B148" s="1"/>
      <c r="C148" s="1"/>
      <c r="D148" s="1"/>
      <c r="E148" s="1"/>
      <c r="F148" s="1"/>
      <c r="G148" s="2"/>
      <c r="H148" s="2"/>
      <c r="I148" s="2"/>
      <c r="J148" s="2"/>
      <c r="K148" s="2"/>
      <c r="L148" s="2"/>
      <c r="M148" s="2"/>
      <c r="N148" s="2"/>
      <c r="O148" s="2"/>
      <c r="P148" s="2"/>
      <c r="Q148" s="2"/>
      <c r="R148" s="2"/>
      <c r="S148" s="2"/>
      <c r="T148" s="2"/>
      <c r="U148" s="2"/>
      <c r="V148" s="2"/>
      <c r="W148" s="2"/>
      <c r="X148" s="2"/>
      <c r="Y148" s="2"/>
      <c r="Z148" s="2"/>
    </row>
    <row r="149" ht="15.75" customHeight="1">
      <c r="A149" s="1"/>
      <c r="B149" s="1"/>
      <c r="C149" s="1"/>
      <c r="D149" s="1"/>
      <c r="E149" s="1"/>
      <c r="F149" s="1"/>
      <c r="G149" s="2"/>
      <c r="H149" s="2"/>
      <c r="I149" s="2"/>
      <c r="J149" s="2"/>
      <c r="K149" s="2"/>
      <c r="L149" s="2"/>
      <c r="M149" s="2"/>
      <c r="N149" s="2"/>
      <c r="O149" s="2"/>
      <c r="P149" s="2"/>
      <c r="Q149" s="2"/>
      <c r="R149" s="2"/>
      <c r="S149" s="2"/>
      <c r="T149" s="2"/>
      <c r="U149" s="2"/>
      <c r="V149" s="2"/>
      <c r="W149" s="2"/>
      <c r="X149" s="2"/>
      <c r="Y149" s="2"/>
      <c r="Z149" s="2"/>
    </row>
    <row r="150" ht="15.75" customHeight="1">
      <c r="A150" s="1"/>
      <c r="B150" s="1"/>
      <c r="C150" s="1"/>
      <c r="D150" s="1"/>
      <c r="E150" s="1"/>
      <c r="F150" s="1"/>
      <c r="G150" s="2"/>
      <c r="H150" s="2"/>
      <c r="I150" s="2"/>
      <c r="J150" s="2"/>
      <c r="K150" s="2"/>
      <c r="L150" s="2"/>
      <c r="M150" s="2"/>
      <c r="N150" s="2"/>
      <c r="O150" s="2"/>
      <c r="P150" s="2"/>
      <c r="Q150" s="2"/>
      <c r="R150" s="2"/>
      <c r="S150" s="2"/>
      <c r="T150" s="2"/>
      <c r="U150" s="2"/>
      <c r="V150" s="2"/>
      <c r="W150" s="2"/>
      <c r="X150" s="2"/>
      <c r="Y150" s="2"/>
      <c r="Z150" s="2"/>
    </row>
    <row r="151" ht="15.75" customHeight="1">
      <c r="A151" s="1"/>
      <c r="B151" s="1"/>
      <c r="C151" s="1"/>
      <c r="D151" s="1"/>
      <c r="E151" s="1"/>
      <c r="F151" s="1"/>
      <c r="G151" s="2"/>
      <c r="H151" s="2"/>
      <c r="I151" s="2"/>
      <c r="J151" s="2"/>
      <c r="K151" s="2"/>
      <c r="L151" s="2"/>
      <c r="M151" s="2"/>
      <c r="N151" s="2"/>
      <c r="O151" s="2"/>
      <c r="P151" s="2"/>
      <c r="Q151" s="2"/>
      <c r="R151" s="2"/>
      <c r="S151" s="2"/>
      <c r="T151" s="2"/>
      <c r="U151" s="2"/>
      <c r="V151" s="2"/>
      <c r="W151" s="2"/>
      <c r="X151" s="2"/>
      <c r="Y151" s="2"/>
      <c r="Z151" s="2"/>
    </row>
    <row r="152" ht="15.75" customHeight="1">
      <c r="A152" s="1"/>
      <c r="B152" s="1"/>
      <c r="C152" s="1"/>
      <c r="D152" s="1"/>
      <c r="E152" s="1"/>
      <c r="F152" s="1"/>
      <c r="G152" s="2"/>
      <c r="H152" s="2"/>
      <c r="I152" s="2"/>
      <c r="J152" s="2"/>
      <c r="K152" s="2"/>
      <c r="L152" s="2"/>
      <c r="M152" s="2"/>
      <c r="N152" s="2"/>
      <c r="O152" s="2"/>
      <c r="P152" s="2"/>
      <c r="Q152" s="2"/>
      <c r="R152" s="2"/>
      <c r="S152" s="2"/>
      <c r="T152" s="2"/>
      <c r="U152" s="2"/>
      <c r="V152" s="2"/>
      <c r="W152" s="2"/>
      <c r="X152" s="2"/>
      <c r="Y152" s="2"/>
      <c r="Z152" s="2"/>
    </row>
    <row r="153" ht="15.75" customHeight="1">
      <c r="A153" s="1"/>
      <c r="B153" s="1"/>
      <c r="C153" s="1"/>
      <c r="D153" s="1"/>
      <c r="E153" s="1"/>
      <c r="F153" s="1"/>
      <c r="G153" s="2"/>
      <c r="H153" s="2"/>
      <c r="I153" s="2"/>
      <c r="J153" s="2"/>
      <c r="K153" s="2"/>
      <c r="L153" s="2"/>
      <c r="M153" s="2"/>
      <c r="N153" s="2"/>
      <c r="O153" s="2"/>
      <c r="P153" s="2"/>
      <c r="Q153" s="2"/>
      <c r="R153" s="2"/>
      <c r="S153" s="2"/>
      <c r="T153" s="2"/>
      <c r="U153" s="2"/>
      <c r="V153" s="2"/>
      <c r="W153" s="2"/>
      <c r="X153" s="2"/>
      <c r="Y153" s="2"/>
      <c r="Z153" s="2"/>
    </row>
    <row r="154" ht="15.75" customHeight="1">
      <c r="A154" s="1"/>
      <c r="B154" s="1"/>
      <c r="C154" s="1"/>
      <c r="D154" s="1"/>
      <c r="E154" s="1"/>
      <c r="F154" s="1"/>
      <c r="G154" s="2"/>
      <c r="H154" s="2"/>
      <c r="I154" s="2"/>
      <c r="J154" s="2"/>
      <c r="K154" s="2"/>
      <c r="L154" s="2"/>
      <c r="M154" s="2"/>
      <c r="N154" s="2"/>
      <c r="O154" s="2"/>
      <c r="P154" s="2"/>
      <c r="Q154" s="2"/>
      <c r="R154" s="2"/>
      <c r="S154" s="2"/>
      <c r="T154" s="2"/>
      <c r="U154" s="2"/>
      <c r="V154" s="2"/>
      <c r="W154" s="2"/>
      <c r="X154" s="2"/>
      <c r="Y154" s="2"/>
      <c r="Z154" s="2"/>
    </row>
    <row r="155" ht="15.75" customHeight="1">
      <c r="A155" s="1"/>
      <c r="B155" s="1"/>
      <c r="C155" s="1"/>
      <c r="D155" s="1"/>
      <c r="E155" s="1"/>
      <c r="F155" s="1"/>
      <c r="G155" s="2"/>
      <c r="H155" s="2"/>
      <c r="I155" s="2"/>
      <c r="J155" s="2"/>
      <c r="K155" s="2"/>
      <c r="L155" s="2"/>
      <c r="M155" s="2"/>
      <c r="N155" s="2"/>
      <c r="O155" s="2"/>
      <c r="P155" s="2"/>
      <c r="Q155" s="2"/>
      <c r="R155" s="2"/>
      <c r="S155" s="2"/>
      <c r="T155" s="2"/>
      <c r="U155" s="2"/>
      <c r="V155" s="2"/>
      <c r="W155" s="2"/>
      <c r="X155" s="2"/>
      <c r="Y155" s="2"/>
      <c r="Z155" s="2"/>
    </row>
    <row r="156" ht="15.75" customHeight="1">
      <c r="A156" s="1"/>
      <c r="B156" s="1"/>
      <c r="C156" s="1"/>
      <c r="D156" s="1"/>
      <c r="E156" s="1"/>
      <c r="F156" s="1"/>
      <c r="G156" s="2"/>
      <c r="H156" s="2"/>
      <c r="I156" s="2"/>
      <c r="J156" s="2"/>
      <c r="K156" s="2"/>
      <c r="L156" s="2"/>
      <c r="M156" s="2"/>
      <c r="N156" s="2"/>
      <c r="O156" s="2"/>
      <c r="P156" s="2"/>
      <c r="Q156" s="2"/>
      <c r="R156" s="2"/>
      <c r="S156" s="2"/>
      <c r="T156" s="2"/>
      <c r="U156" s="2"/>
      <c r="V156" s="2"/>
      <c r="W156" s="2"/>
      <c r="X156" s="2"/>
      <c r="Y156" s="2"/>
      <c r="Z156" s="2"/>
    </row>
    <row r="157" ht="15.75" customHeight="1">
      <c r="A157" s="1"/>
      <c r="B157" s="1"/>
      <c r="C157" s="1"/>
      <c r="D157" s="1"/>
      <c r="E157" s="1"/>
      <c r="F157" s="1"/>
      <c r="G157" s="2"/>
      <c r="H157" s="2"/>
      <c r="I157" s="2"/>
      <c r="J157" s="2"/>
      <c r="K157" s="2"/>
      <c r="L157" s="2"/>
      <c r="M157" s="2"/>
      <c r="N157" s="2"/>
      <c r="O157" s="2"/>
      <c r="P157" s="2"/>
      <c r="Q157" s="2"/>
      <c r="R157" s="2"/>
      <c r="S157" s="2"/>
      <c r="T157" s="2"/>
      <c r="U157" s="2"/>
      <c r="V157" s="2"/>
      <c r="W157" s="2"/>
      <c r="X157" s="2"/>
      <c r="Y157" s="2"/>
      <c r="Z157" s="2"/>
    </row>
    <row r="158" ht="15.75" customHeight="1">
      <c r="A158" s="1"/>
      <c r="B158" s="1"/>
      <c r="C158" s="1"/>
      <c r="D158" s="1"/>
      <c r="E158" s="1"/>
      <c r="F158" s="1"/>
      <c r="G158" s="2"/>
      <c r="H158" s="2"/>
      <c r="I158" s="2"/>
      <c r="J158" s="2"/>
      <c r="K158" s="2"/>
      <c r="L158" s="2"/>
      <c r="M158" s="2"/>
      <c r="N158" s="2"/>
      <c r="O158" s="2"/>
      <c r="P158" s="2"/>
      <c r="Q158" s="2"/>
      <c r="R158" s="2"/>
      <c r="S158" s="2"/>
      <c r="T158" s="2"/>
      <c r="U158" s="2"/>
      <c r="V158" s="2"/>
      <c r="W158" s="2"/>
      <c r="X158" s="2"/>
      <c r="Y158" s="2"/>
      <c r="Z158" s="2"/>
    </row>
    <row r="159" ht="15.75" customHeight="1">
      <c r="A159" s="1"/>
      <c r="B159" s="1"/>
      <c r="C159" s="1"/>
      <c r="D159" s="1"/>
      <c r="E159" s="1"/>
      <c r="F159" s="1"/>
      <c r="G159" s="2"/>
      <c r="H159" s="2"/>
      <c r="I159" s="2"/>
      <c r="J159" s="2"/>
      <c r="K159" s="2"/>
      <c r="L159" s="2"/>
      <c r="M159" s="2"/>
      <c r="N159" s="2"/>
      <c r="O159" s="2"/>
      <c r="P159" s="2"/>
      <c r="Q159" s="2"/>
      <c r="R159" s="2"/>
      <c r="S159" s="2"/>
      <c r="T159" s="2"/>
      <c r="U159" s="2"/>
      <c r="V159" s="2"/>
      <c r="W159" s="2"/>
      <c r="X159" s="2"/>
      <c r="Y159" s="2"/>
      <c r="Z159" s="2"/>
    </row>
    <row r="160" ht="15.75" customHeight="1">
      <c r="A160" s="1"/>
      <c r="B160" s="1"/>
      <c r="C160" s="1"/>
      <c r="D160" s="1"/>
      <c r="E160" s="1"/>
      <c r="F160" s="1"/>
      <c r="G160" s="2"/>
      <c r="H160" s="2"/>
      <c r="I160" s="2"/>
      <c r="J160" s="2"/>
      <c r="K160" s="2"/>
      <c r="L160" s="2"/>
      <c r="M160" s="2"/>
      <c r="N160" s="2"/>
      <c r="O160" s="2"/>
      <c r="P160" s="2"/>
      <c r="Q160" s="2"/>
      <c r="R160" s="2"/>
      <c r="S160" s="2"/>
      <c r="T160" s="2"/>
      <c r="U160" s="2"/>
      <c r="V160" s="2"/>
      <c r="W160" s="2"/>
      <c r="X160" s="2"/>
      <c r="Y160" s="2"/>
      <c r="Z160" s="2"/>
    </row>
    <row r="161" ht="15.75" customHeight="1">
      <c r="A161" s="1"/>
      <c r="B161" s="1"/>
      <c r="C161" s="1"/>
      <c r="D161" s="1"/>
      <c r="E161" s="1"/>
      <c r="F161" s="1"/>
      <c r="G161" s="2"/>
      <c r="H161" s="2"/>
      <c r="I161" s="2"/>
      <c r="J161" s="2"/>
      <c r="K161" s="2"/>
      <c r="L161" s="2"/>
      <c r="M161" s="2"/>
      <c r="N161" s="2"/>
      <c r="O161" s="2"/>
      <c r="P161" s="2"/>
      <c r="Q161" s="2"/>
      <c r="R161" s="2"/>
      <c r="S161" s="2"/>
      <c r="T161" s="2"/>
      <c r="U161" s="2"/>
      <c r="V161" s="2"/>
      <c r="W161" s="2"/>
      <c r="X161" s="2"/>
      <c r="Y161" s="2"/>
      <c r="Z161" s="2"/>
    </row>
    <row r="162" ht="15.75" customHeight="1">
      <c r="A162" s="1"/>
      <c r="B162" s="1"/>
      <c r="C162" s="1"/>
      <c r="D162" s="1"/>
      <c r="E162" s="1"/>
      <c r="F162" s="1"/>
      <c r="G162" s="2"/>
      <c r="H162" s="2"/>
      <c r="I162" s="2"/>
      <c r="J162" s="2"/>
      <c r="K162" s="2"/>
      <c r="L162" s="2"/>
      <c r="M162" s="2"/>
      <c r="N162" s="2"/>
      <c r="O162" s="2"/>
      <c r="P162" s="2"/>
      <c r="Q162" s="2"/>
      <c r="R162" s="2"/>
      <c r="S162" s="2"/>
      <c r="T162" s="2"/>
      <c r="U162" s="2"/>
      <c r="V162" s="2"/>
      <c r="W162" s="2"/>
      <c r="X162" s="2"/>
      <c r="Y162" s="2"/>
      <c r="Z162" s="2"/>
    </row>
    <row r="163" ht="15.75" customHeight="1">
      <c r="A163" s="1"/>
      <c r="B163" s="1"/>
      <c r="C163" s="1"/>
      <c r="D163" s="1"/>
      <c r="E163" s="1"/>
      <c r="F163" s="1"/>
      <c r="G163" s="2"/>
      <c r="H163" s="2"/>
      <c r="I163" s="2"/>
      <c r="J163" s="2"/>
      <c r="K163" s="2"/>
      <c r="L163" s="2"/>
      <c r="M163" s="2"/>
      <c r="N163" s="2"/>
      <c r="O163" s="2"/>
      <c r="P163" s="2"/>
      <c r="Q163" s="2"/>
      <c r="R163" s="2"/>
      <c r="S163" s="2"/>
      <c r="T163" s="2"/>
      <c r="U163" s="2"/>
      <c r="V163" s="2"/>
      <c r="W163" s="2"/>
      <c r="X163" s="2"/>
      <c r="Y163" s="2"/>
      <c r="Z163" s="2"/>
    </row>
    <row r="164" ht="15.75" customHeight="1">
      <c r="A164" s="1"/>
      <c r="B164" s="1"/>
      <c r="C164" s="1"/>
      <c r="D164" s="1"/>
      <c r="E164" s="1"/>
      <c r="F164" s="1"/>
      <c r="G164" s="2"/>
      <c r="H164" s="2"/>
      <c r="I164" s="2"/>
      <c r="J164" s="2"/>
      <c r="K164" s="2"/>
      <c r="L164" s="2"/>
      <c r="M164" s="2"/>
      <c r="N164" s="2"/>
      <c r="O164" s="2"/>
      <c r="P164" s="2"/>
      <c r="Q164" s="2"/>
      <c r="R164" s="2"/>
      <c r="S164" s="2"/>
      <c r="T164" s="2"/>
      <c r="U164" s="2"/>
      <c r="V164" s="2"/>
      <c r="W164" s="2"/>
      <c r="X164" s="2"/>
      <c r="Y164" s="2"/>
      <c r="Z164" s="2"/>
    </row>
    <row r="165" ht="15.75" customHeight="1">
      <c r="A165" s="1"/>
      <c r="B165" s="1"/>
      <c r="C165" s="1"/>
      <c r="D165" s="1"/>
      <c r="E165" s="1"/>
      <c r="F165" s="1"/>
      <c r="G165" s="2"/>
      <c r="H165" s="2"/>
      <c r="I165" s="2"/>
      <c r="J165" s="2"/>
      <c r="K165" s="2"/>
      <c r="L165" s="2"/>
      <c r="M165" s="2"/>
      <c r="N165" s="2"/>
      <c r="O165" s="2"/>
      <c r="P165" s="2"/>
      <c r="Q165" s="2"/>
      <c r="R165" s="2"/>
      <c r="S165" s="2"/>
      <c r="T165" s="2"/>
      <c r="U165" s="2"/>
      <c r="V165" s="2"/>
      <c r="W165" s="2"/>
      <c r="X165" s="2"/>
      <c r="Y165" s="2"/>
      <c r="Z165" s="2"/>
    </row>
    <row r="166" ht="15.75" customHeight="1">
      <c r="A166" s="1"/>
      <c r="B166" s="1"/>
      <c r="C166" s="1"/>
      <c r="D166" s="1"/>
      <c r="E166" s="1"/>
      <c r="F166" s="1"/>
      <c r="G166" s="2"/>
      <c r="H166" s="2"/>
      <c r="I166" s="2"/>
      <c r="J166" s="2"/>
      <c r="K166" s="2"/>
      <c r="L166" s="2"/>
      <c r="M166" s="2"/>
      <c r="N166" s="2"/>
      <c r="O166" s="2"/>
      <c r="P166" s="2"/>
      <c r="Q166" s="2"/>
      <c r="R166" s="2"/>
      <c r="S166" s="2"/>
      <c r="T166" s="2"/>
      <c r="U166" s="2"/>
      <c r="V166" s="2"/>
      <c r="W166" s="2"/>
      <c r="X166" s="2"/>
      <c r="Y166" s="2"/>
      <c r="Z166" s="2"/>
    </row>
    <row r="167" ht="15.75" customHeight="1">
      <c r="A167" s="1"/>
      <c r="B167" s="1"/>
      <c r="C167" s="1"/>
      <c r="D167" s="1"/>
      <c r="E167" s="1"/>
      <c r="F167" s="1"/>
      <c r="G167" s="2"/>
      <c r="H167" s="2"/>
      <c r="I167" s="2"/>
      <c r="J167" s="2"/>
      <c r="K167" s="2"/>
      <c r="L167" s="2"/>
      <c r="M167" s="2"/>
      <c r="N167" s="2"/>
      <c r="O167" s="2"/>
      <c r="P167" s="2"/>
      <c r="Q167" s="2"/>
      <c r="R167" s="2"/>
      <c r="S167" s="2"/>
      <c r="T167" s="2"/>
      <c r="U167" s="2"/>
      <c r="V167" s="2"/>
      <c r="W167" s="2"/>
      <c r="X167" s="2"/>
      <c r="Y167" s="2"/>
      <c r="Z167" s="2"/>
    </row>
    <row r="168" ht="15.75" customHeight="1">
      <c r="A168" s="1"/>
      <c r="B168" s="1"/>
      <c r="C168" s="1"/>
      <c r="D168" s="1"/>
      <c r="E168" s="1"/>
      <c r="F168" s="1"/>
      <c r="G168" s="2"/>
      <c r="H168" s="2"/>
      <c r="I168" s="2"/>
      <c r="J168" s="2"/>
      <c r="K168" s="2"/>
      <c r="L168" s="2"/>
      <c r="M168" s="2"/>
      <c r="N168" s="2"/>
      <c r="O168" s="2"/>
      <c r="P168" s="2"/>
      <c r="Q168" s="2"/>
      <c r="R168" s="2"/>
      <c r="S168" s="2"/>
      <c r="T168" s="2"/>
      <c r="U168" s="2"/>
      <c r="V168" s="2"/>
      <c r="W168" s="2"/>
      <c r="X168" s="2"/>
      <c r="Y168" s="2"/>
      <c r="Z168" s="2"/>
    </row>
    <row r="169" ht="15.75" customHeight="1">
      <c r="A169" s="1"/>
      <c r="B169" s="1"/>
      <c r="C169" s="1"/>
      <c r="D169" s="1"/>
      <c r="E169" s="1"/>
      <c r="F169" s="1"/>
      <c r="G169" s="2"/>
      <c r="H169" s="2"/>
      <c r="I169" s="2"/>
      <c r="J169" s="2"/>
      <c r="K169" s="2"/>
      <c r="L169" s="2"/>
      <c r="M169" s="2"/>
      <c r="N169" s="2"/>
      <c r="O169" s="2"/>
      <c r="P169" s="2"/>
      <c r="Q169" s="2"/>
      <c r="R169" s="2"/>
      <c r="S169" s="2"/>
      <c r="T169" s="2"/>
      <c r="U169" s="2"/>
      <c r="V169" s="2"/>
      <c r="W169" s="2"/>
      <c r="X169" s="2"/>
      <c r="Y169" s="2"/>
      <c r="Z169" s="2"/>
    </row>
    <row r="170" ht="15.75" customHeight="1">
      <c r="A170" s="1"/>
      <c r="B170" s="1"/>
      <c r="C170" s="1"/>
      <c r="D170" s="1"/>
      <c r="E170" s="1"/>
      <c r="F170" s="1"/>
      <c r="G170" s="2"/>
      <c r="H170" s="2"/>
      <c r="I170" s="2"/>
      <c r="J170" s="2"/>
      <c r="K170" s="2"/>
      <c r="L170" s="2"/>
      <c r="M170" s="2"/>
      <c r="N170" s="2"/>
      <c r="O170" s="2"/>
      <c r="P170" s="2"/>
      <c r="Q170" s="2"/>
      <c r="R170" s="2"/>
      <c r="S170" s="2"/>
      <c r="T170" s="2"/>
      <c r="U170" s="2"/>
      <c r="V170" s="2"/>
      <c r="W170" s="2"/>
      <c r="X170" s="2"/>
      <c r="Y170" s="2"/>
      <c r="Z170" s="2"/>
    </row>
    <row r="171" ht="15.75" customHeight="1">
      <c r="A171" s="1"/>
      <c r="B171" s="1"/>
      <c r="C171" s="1"/>
      <c r="D171" s="1"/>
      <c r="E171" s="1"/>
      <c r="F171" s="1"/>
      <c r="G171" s="2"/>
      <c r="H171" s="2"/>
      <c r="I171" s="2"/>
      <c r="J171" s="2"/>
      <c r="K171" s="2"/>
      <c r="L171" s="2"/>
      <c r="M171" s="2"/>
      <c r="N171" s="2"/>
      <c r="O171" s="2"/>
      <c r="P171" s="2"/>
      <c r="Q171" s="2"/>
      <c r="R171" s="2"/>
      <c r="S171" s="2"/>
      <c r="T171" s="2"/>
      <c r="U171" s="2"/>
      <c r="V171" s="2"/>
      <c r="W171" s="2"/>
      <c r="X171" s="2"/>
      <c r="Y171" s="2"/>
      <c r="Z171" s="2"/>
    </row>
    <row r="172" ht="15.75" customHeight="1">
      <c r="A172" s="1"/>
      <c r="B172" s="1"/>
      <c r="C172" s="1"/>
      <c r="D172" s="1"/>
      <c r="E172" s="1"/>
      <c r="F172" s="1"/>
      <c r="G172" s="2"/>
      <c r="H172" s="2"/>
      <c r="I172" s="2"/>
      <c r="J172" s="2"/>
      <c r="K172" s="2"/>
      <c r="L172" s="2"/>
      <c r="M172" s="2"/>
      <c r="N172" s="2"/>
      <c r="O172" s="2"/>
      <c r="P172" s="2"/>
      <c r="Q172" s="2"/>
      <c r="R172" s="2"/>
      <c r="S172" s="2"/>
      <c r="T172" s="2"/>
      <c r="U172" s="2"/>
      <c r="V172" s="2"/>
      <c r="W172" s="2"/>
      <c r="X172" s="2"/>
      <c r="Y172" s="2"/>
      <c r="Z172" s="2"/>
    </row>
    <row r="173" ht="15.75" customHeight="1">
      <c r="A173" s="1"/>
      <c r="B173" s="1"/>
      <c r="C173" s="1"/>
      <c r="D173" s="1"/>
      <c r="E173" s="1"/>
      <c r="F173" s="1"/>
      <c r="G173" s="2"/>
      <c r="H173" s="2"/>
      <c r="I173" s="2"/>
      <c r="J173" s="2"/>
      <c r="K173" s="2"/>
      <c r="L173" s="2"/>
      <c r="M173" s="2"/>
      <c r="N173" s="2"/>
      <c r="O173" s="2"/>
      <c r="P173" s="2"/>
      <c r="Q173" s="2"/>
      <c r="R173" s="2"/>
      <c r="S173" s="2"/>
      <c r="T173" s="2"/>
      <c r="U173" s="2"/>
      <c r="V173" s="2"/>
      <c r="W173" s="2"/>
      <c r="X173" s="2"/>
      <c r="Y173" s="2"/>
      <c r="Z173" s="2"/>
    </row>
    <row r="174" ht="15.75" customHeight="1">
      <c r="A174" s="1"/>
      <c r="B174" s="1"/>
      <c r="C174" s="1"/>
      <c r="D174" s="1"/>
      <c r="E174" s="1"/>
      <c r="F174" s="1"/>
      <c r="G174" s="2"/>
      <c r="H174" s="2"/>
      <c r="I174" s="2"/>
      <c r="J174" s="2"/>
      <c r="K174" s="2"/>
      <c r="L174" s="2"/>
      <c r="M174" s="2"/>
      <c r="N174" s="2"/>
      <c r="O174" s="2"/>
      <c r="P174" s="2"/>
      <c r="Q174" s="2"/>
      <c r="R174" s="2"/>
      <c r="S174" s="2"/>
      <c r="T174" s="2"/>
      <c r="U174" s="2"/>
      <c r="V174" s="2"/>
      <c r="W174" s="2"/>
      <c r="X174" s="2"/>
      <c r="Y174" s="2"/>
      <c r="Z174" s="2"/>
    </row>
    <row r="175" ht="15.75" customHeight="1">
      <c r="A175" s="1"/>
      <c r="B175" s="1"/>
      <c r="C175" s="1"/>
      <c r="D175" s="1"/>
      <c r="E175" s="1"/>
      <c r="F175" s="1"/>
      <c r="G175" s="2"/>
      <c r="H175" s="2"/>
      <c r="I175" s="2"/>
      <c r="J175" s="2"/>
      <c r="K175" s="2"/>
      <c r="L175" s="2"/>
      <c r="M175" s="2"/>
      <c r="N175" s="2"/>
      <c r="O175" s="2"/>
      <c r="P175" s="2"/>
      <c r="Q175" s="2"/>
      <c r="R175" s="2"/>
      <c r="S175" s="2"/>
      <c r="T175" s="2"/>
      <c r="U175" s="2"/>
      <c r="V175" s="2"/>
      <c r="W175" s="2"/>
      <c r="X175" s="2"/>
      <c r="Y175" s="2"/>
      <c r="Z175" s="2"/>
    </row>
    <row r="176" ht="15.75" customHeight="1">
      <c r="A176" s="1"/>
      <c r="B176" s="1"/>
      <c r="C176" s="1"/>
      <c r="D176" s="1"/>
      <c r="E176" s="1"/>
      <c r="F176" s="1"/>
      <c r="G176" s="2"/>
      <c r="H176" s="2"/>
      <c r="I176" s="2"/>
      <c r="J176" s="2"/>
      <c r="K176" s="2"/>
      <c r="L176" s="2"/>
      <c r="M176" s="2"/>
      <c r="N176" s="2"/>
      <c r="O176" s="2"/>
      <c r="P176" s="2"/>
      <c r="Q176" s="2"/>
      <c r="R176" s="2"/>
      <c r="S176" s="2"/>
      <c r="T176" s="2"/>
      <c r="U176" s="2"/>
      <c r="V176" s="2"/>
      <c r="W176" s="2"/>
      <c r="X176" s="2"/>
      <c r="Y176" s="2"/>
      <c r="Z176" s="2"/>
    </row>
    <row r="177" ht="15.75" customHeight="1">
      <c r="A177" s="1"/>
      <c r="B177" s="1"/>
      <c r="C177" s="1"/>
      <c r="D177" s="1"/>
      <c r="E177" s="1"/>
      <c r="F177" s="1"/>
      <c r="G177" s="2"/>
      <c r="H177" s="2"/>
      <c r="I177" s="2"/>
      <c r="J177" s="2"/>
      <c r="K177" s="2"/>
      <c r="L177" s="2"/>
      <c r="M177" s="2"/>
      <c r="N177" s="2"/>
      <c r="O177" s="2"/>
      <c r="P177" s="2"/>
      <c r="Q177" s="2"/>
      <c r="R177" s="2"/>
      <c r="S177" s="2"/>
      <c r="T177" s="2"/>
      <c r="U177" s="2"/>
      <c r="V177" s="2"/>
      <c r="W177" s="2"/>
      <c r="X177" s="2"/>
      <c r="Y177" s="2"/>
      <c r="Z177" s="2"/>
    </row>
    <row r="178" ht="15.75" customHeight="1">
      <c r="A178" s="1"/>
      <c r="B178" s="1"/>
      <c r="C178" s="1"/>
      <c r="D178" s="1"/>
      <c r="E178" s="1"/>
      <c r="F178" s="1"/>
      <c r="G178" s="2"/>
      <c r="H178" s="2"/>
      <c r="I178" s="2"/>
      <c r="J178" s="2"/>
      <c r="K178" s="2"/>
      <c r="L178" s="2"/>
      <c r="M178" s="2"/>
      <c r="N178" s="2"/>
      <c r="O178" s="2"/>
      <c r="P178" s="2"/>
      <c r="Q178" s="2"/>
      <c r="R178" s="2"/>
      <c r="S178" s="2"/>
      <c r="T178" s="2"/>
      <c r="U178" s="2"/>
      <c r="V178" s="2"/>
      <c r="W178" s="2"/>
      <c r="X178" s="2"/>
      <c r="Y178" s="2"/>
      <c r="Z178" s="2"/>
    </row>
    <row r="179" ht="15.75" customHeight="1">
      <c r="A179" s="1"/>
      <c r="B179" s="1"/>
      <c r="C179" s="1"/>
      <c r="D179" s="1"/>
      <c r="E179" s="1"/>
      <c r="F179" s="1"/>
      <c r="G179" s="2"/>
      <c r="H179" s="2"/>
      <c r="I179" s="2"/>
      <c r="J179" s="2"/>
      <c r="K179" s="2"/>
      <c r="L179" s="2"/>
      <c r="M179" s="2"/>
      <c r="N179" s="2"/>
      <c r="O179" s="2"/>
      <c r="P179" s="2"/>
      <c r="Q179" s="2"/>
      <c r="R179" s="2"/>
      <c r="S179" s="2"/>
      <c r="T179" s="2"/>
      <c r="U179" s="2"/>
      <c r="V179" s="2"/>
      <c r="W179" s="2"/>
      <c r="X179" s="2"/>
      <c r="Y179" s="2"/>
      <c r="Z179" s="2"/>
    </row>
    <row r="180" ht="15.75" customHeight="1">
      <c r="A180" s="1"/>
      <c r="B180" s="1"/>
      <c r="C180" s="1"/>
      <c r="D180" s="1"/>
      <c r="E180" s="1"/>
      <c r="F180" s="1"/>
      <c r="G180" s="2"/>
      <c r="H180" s="2"/>
      <c r="I180" s="2"/>
      <c r="J180" s="2"/>
      <c r="K180" s="2"/>
      <c r="L180" s="2"/>
      <c r="M180" s="2"/>
      <c r="N180" s="2"/>
      <c r="O180" s="2"/>
      <c r="P180" s="2"/>
      <c r="Q180" s="2"/>
      <c r="R180" s="2"/>
      <c r="S180" s="2"/>
      <c r="T180" s="2"/>
      <c r="U180" s="2"/>
      <c r="V180" s="2"/>
      <c r="W180" s="2"/>
      <c r="X180" s="2"/>
      <c r="Y180" s="2"/>
      <c r="Z180" s="2"/>
    </row>
    <row r="181" ht="15.75" customHeight="1">
      <c r="A181" s="1"/>
      <c r="B181" s="1"/>
      <c r="C181" s="1"/>
      <c r="D181" s="1"/>
      <c r="E181" s="1"/>
      <c r="F181" s="1"/>
      <c r="G181" s="2"/>
      <c r="H181" s="2"/>
      <c r="I181" s="2"/>
      <c r="J181" s="2"/>
      <c r="K181" s="2"/>
      <c r="L181" s="2"/>
      <c r="M181" s="2"/>
      <c r="N181" s="2"/>
      <c r="O181" s="2"/>
      <c r="P181" s="2"/>
      <c r="Q181" s="2"/>
      <c r="R181" s="2"/>
      <c r="S181" s="2"/>
      <c r="T181" s="2"/>
      <c r="U181" s="2"/>
      <c r="V181" s="2"/>
      <c r="W181" s="2"/>
      <c r="X181" s="2"/>
      <c r="Y181" s="2"/>
      <c r="Z181" s="2"/>
    </row>
    <row r="182" ht="15.75" customHeight="1">
      <c r="A182" s="1"/>
      <c r="B182" s="1"/>
      <c r="C182" s="1"/>
      <c r="D182" s="1"/>
      <c r="E182" s="1"/>
      <c r="F182" s="1"/>
      <c r="G182" s="2"/>
      <c r="H182" s="2"/>
      <c r="I182" s="2"/>
      <c r="J182" s="2"/>
      <c r="K182" s="2"/>
      <c r="L182" s="2"/>
      <c r="M182" s="2"/>
      <c r="N182" s="2"/>
      <c r="O182" s="2"/>
      <c r="P182" s="2"/>
      <c r="Q182" s="2"/>
      <c r="R182" s="2"/>
      <c r="S182" s="2"/>
      <c r="T182" s="2"/>
      <c r="U182" s="2"/>
      <c r="V182" s="2"/>
      <c r="W182" s="2"/>
      <c r="X182" s="2"/>
      <c r="Y182" s="2"/>
      <c r="Z182" s="2"/>
    </row>
    <row r="183" ht="15.75" customHeight="1">
      <c r="A183" s="1"/>
      <c r="B183" s="1"/>
      <c r="C183" s="1"/>
      <c r="D183" s="1"/>
      <c r="E183" s="1"/>
      <c r="F183" s="1"/>
      <c r="G183" s="2"/>
      <c r="H183" s="2"/>
      <c r="I183" s="2"/>
      <c r="J183" s="2"/>
      <c r="K183" s="2"/>
      <c r="L183" s="2"/>
      <c r="M183" s="2"/>
      <c r="N183" s="2"/>
      <c r="O183" s="2"/>
      <c r="P183" s="2"/>
      <c r="Q183" s="2"/>
      <c r="R183" s="2"/>
      <c r="S183" s="2"/>
      <c r="T183" s="2"/>
      <c r="U183" s="2"/>
      <c r="V183" s="2"/>
      <c r="W183" s="2"/>
      <c r="X183" s="2"/>
      <c r="Y183" s="2"/>
      <c r="Z183" s="2"/>
    </row>
    <row r="184" ht="15.75" customHeight="1">
      <c r="A184" s="1"/>
      <c r="B184" s="1"/>
      <c r="C184" s="1"/>
      <c r="D184" s="1"/>
      <c r="E184" s="1"/>
      <c r="F184" s="1"/>
      <c r="G184" s="2"/>
      <c r="H184" s="2"/>
      <c r="I184" s="2"/>
      <c r="J184" s="2"/>
      <c r="K184" s="2"/>
      <c r="L184" s="2"/>
      <c r="M184" s="2"/>
      <c r="N184" s="2"/>
      <c r="O184" s="2"/>
      <c r="P184" s="2"/>
      <c r="Q184" s="2"/>
      <c r="R184" s="2"/>
      <c r="S184" s="2"/>
      <c r="T184" s="2"/>
      <c r="U184" s="2"/>
      <c r="V184" s="2"/>
      <c r="W184" s="2"/>
      <c r="X184" s="2"/>
      <c r="Y184" s="2"/>
      <c r="Z184" s="2"/>
    </row>
    <row r="185" ht="15.75" customHeight="1">
      <c r="A185" s="1"/>
      <c r="B185" s="1"/>
      <c r="C185" s="1"/>
      <c r="D185" s="1"/>
      <c r="E185" s="1"/>
      <c r="F185" s="1"/>
      <c r="G185" s="2"/>
      <c r="H185" s="2"/>
      <c r="I185" s="2"/>
      <c r="J185" s="2"/>
      <c r="K185" s="2"/>
      <c r="L185" s="2"/>
      <c r="M185" s="2"/>
      <c r="N185" s="2"/>
      <c r="O185" s="2"/>
      <c r="P185" s="2"/>
      <c r="Q185" s="2"/>
      <c r="R185" s="2"/>
      <c r="S185" s="2"/>
      <c r="T185" s="2"/>
      <c r="U185" s="2"/>
      <c r="V185" s="2"/>
      <c r="W185" s="2"/>
      <c r="X185" s="2"/>
      <c r="Y185" s="2"/>
      <c r="Z185" s="2"/>
    </row>
    <row r="186" ht="15.75" customHeight="1">
      <c r="A186" s="1"/>
      <c r="B186" s="1"/>
      <c r="C186" s="1"/>
      <c r="D186" s="1"/>
      <c r="E186" s="1"/>
      <c r="F186" s="1"/>
      <c r="G186" s="2"/>
      <c r="H186" s="2"/>
      <c r="I186" s="2"/>
      <c r="J186" s="2"/>
      <c r="K186" s="2"/>
      <c r="L186" s="2"/>
      <c r="M186" s="2"/>
      <c r="N186" s="2"/>
      <c r="O186" s="2"/>
      <c r="P186" s="2"/>
      <c r="Q186" s="2"/>
      <c r="R186" s="2"/>
      <c r="S186" s="2"/>
      <c r="T186" s="2"/>
      <c r="U186" s="2"/>
      <c r="V186" s="2"/>
      <c r="W186" s="2"/>
      <c r="X186" s="2"/>
      <c r="Y186" s="2"/>
      <c r="Z186" s="2"/>
    </row>
    <row r="187" ht="15.75" customHeight="1">
      <c r="A187" s="1"/>
      <c r="B187" s="1"/>
      <c r="C187" s="1"/>
      <c r="D187" s="1"/>
      <c r="E187" s="1"/>
      <c r="F187" s="1"/>
      <c r="G187" s="2"/>
      <c r="H187" s="2"/>
      <c r="I187" s="2"/>
      <c r="J187" s="2"/>
      <c r="K187" s="2"/>
      <c r="L187" s="2"/>
      <c r="M187" s="2"/>
      <c r="N187" s="2"/>
      <c r="O187" s="2"/>
      <c r="P187" s="2"/>
      <c r="Q187" s="2"/>
      <c r="R187" s="2"/>
      <c r="S187" s="2"/>
      <c r="T187" s="2"/>
      <c r="U187" s="2"/>
      <c r="V187" s="2"/>
      <c r="W187" s="2"/>
      <c r="X187" s="2"/>
      <c r="Y187" s="2"/>
      <c r="Z187" s="2"/>
    </row>
    <row r="188" ht="15.75" customHeight="1">
      <c r="A188" s="1"/>
      <c r="B188" s="1"/>
      <c r="C188" s="1"/>
      <c r="D188" s="1"/>
      <c r="E188" s="1"/>
      <c r="F188" s="1"/>
      <c r="G188" s="2"/>
      <c r="H188" s="2"/>
      <c r="I188" s="2"/>
      <c r="J188" s="2"/>
      <c r="K188" s="2"/>
      <c r="L188" s="2"/>
      <c r="M188" s="2"/>
      <c r="N188" s="2"/>
      <c r="O188" s="2"/>
      <c r="P188" s="2"/>
      <c r="Q188" s="2"/>
      <c r="R188" s="2"/>
      <c r="S188" s="2"/>
      <c r="T188" s="2"/>
      <c r="U188" s="2"/>
      <c r="V188" s="2"/>
      <c r="W188" s="2"/>
      <c r="X188" s="2"/>
      <c r="Y188" s="2"/>
      <c r="Z188" s="2"/>
    </row>
    <row r="189" ht="15.75" customHeight="1">
      <c r="A189" s="1"/>
      <c r="B189" s="1"/>
      <c r="C189" s="1"/>
      <c r="D189" s="1"/>
      <c r="E189" s="1"/>
      <c r="F189" s="1"/>
      <c r="G189" s="2"/>
      <c r="H189" s="2"/>
      <c r="I189" s="2"/>
      <c r="J189" s="2"/>
      <c r="K189" s="2"/>
      <c r="L189" s="2"/>
      <c r="M189" s="2"/>
      <c r="N189" s="2"/>
      <c r="O189" s="2"/>
      <c r="P189" s="2"/>
      <c r="Q189" s="2"/>
      <c r="R189" s="2"/>
      <c r="S189" s="2"/>
      <c r="T189" s="2"/>
      <c r="U189" s="2"/>
      <c r="V189" s="2"/>
      <c r="W189" s="2"/>
      <c r="X189" s="2"/>
      <c r="Y189" s="2"/>
      <c r="Z189" s="2"/>
    </row>
    <row r="190" ht="15.75" customHeight="1">
      <c r="A190" s="1"/>
      <c r="B190" s="1"/>
      <c r="C190" s="1"/>
      <c r="D190" s="1"/>
      <c r="E190" s="1"/>
      <c r="F190" s="1"/>
      <c r="G190" s="2"/>
      <c r="H190" s="2"/>
      <c r="I190" s="2"/>
      <c r="J190" s="2"/>
      <c r="K190" s="2"/>
      <c r="L190" s="2"/>
      <c r="M190" s="2"/>
      <c r="N190" s="2"/>
      <c r="O190" s="2"/>
      <c r="P190" s="2"/>
      <c r="Q190" s="2"/>
      <c r="R190" s="2"/>
      <c r="S190" s="2"/>
      <c r="T190" s="2"/>
      <c r="U190" s="2"/>
      <c r="V190" s="2"/>
      <c r="W190" s="2"/>
      <c r="X190" s="2"/>
      <c r="Y190" s="2"/>
      <c r="Z190" s="2"/>
    </row>
    <row r="191" ht="15.75" customHeight="1">
      <c r="A191" s="1"/>
      <c r="B191" s="1"/>
      <c r="C191" s="1"/>
      <c r="D191" s="1"/>
      <c r="E191" s="1"/>
      <c r="F191" s="1"/>
      <c r="G191" s="2"/>
      <c r="H191" s="2"/>
      <c r="I191" s="2"/>
      <c r="J191" s="2"/>
      <c r="K191" s="2"/>
      <c r="L191" s="2"/>
      <c r="M191" s="2"/>
      <c r="N191" s="2"/>
      <c r="O191" s="2"/>
      <c r="P191" s="2"/>
      <c r="Q191" s="2"/>
      <c r="R191" s="2"/>
      <c r="S191" s="2"/>
      <c r="T191" s="2"/>
      <c r="U191" s="2"/>
      <c r="V191" s="2"/>
      <c r="W191" s="2"/>
      <c r="X191" s="2"/>
      <c r="Y191" s="2"/>
      <c r="Z191" s="2"/>
    </row>
    <row r="192" ht="15.75" customHeight="1">
      <c r="A192" s="1"/>
      <c r="B192" s="1"/>
      <c r="C192" s="1"/>
      <c r="D192" s="1"/>
      <c r="E192" s="1"/>
      <c r="F192" s="1"/>
      <c r="G192" s="2"/>
      <c r="H192" s="2"/>
      <c r="I192" s="2"/>
      <c r="J192" s="2"/>
      <c r="K192" s="2"/>
      <c r="L192" s="2"/>
      <c r="M192" s="2"/>
      <c r="N192" s="2"/>
      <c r="O192" s="2"/>
      <c r="P192" s="2"/>
      <c r="Q192" s="2"/>
      <c r="R192" s="2"/>
      <c r="S192" s="2"/>
      <c r="T192" s="2"/>
      <c r="U192" s="2"/>
      <c r="V192" s="2"/>
      <c r="W192" s="2"/>
      <c r="X192" s="2"/>
      <c r="Y192" s="2"/>
      <c r="Z192" s="2"/>
    </row>
    <row r="193" ht="15.75" customHeight="1">
      <c r="A193" s="1"/>
      <c r="B193" s="1"/>
      <c r="C193" s="1"/>
      <c r="D193" s="1"/>
      <c r="E193" s="1"/>
      <c r="F193" s="1"/>
      <c r="G193" s="2"/>
      <c r="H193" s="2"/>
      <c r="I193" s="2"/>
      <c r="J193" s="2"/>
      <c r="K193" s="2"/>
      <c r="L193" s="2"/>
      <c r="M193" s="2"/>
      <c r="N193" s="2"/>
      <c r="O193" s="2"/>
      <c r="P193" s="2"/>
      <c r="Q193" s="2"/>
      <c r="R193" s="2"/>
      <c r="S193" s="2"/>
      <c r="T193" s="2"/>
      <c r="U193" s="2"/>
      <c r="V193" s="2"/>
      <c r="W193" s="2"/>
      <c r="X193" s="2"/>
      <c r="Y193" s="2"/>
      <c r="Z193" s="2"/>
    </row>
    <row r="194" ht="15.75" customHeight="1">
      <c r="A194" s="1"/>
      <c r="B194" s="1"/>
      <c r="C194" s="1"/>
      <c r="D194" s="1"/>
      <c r="E194" s="1"/>
      <c r="F194" s="1"/>
      <c r="G194" s="2"/>
      <c r="H194" s="2"/>
      <c r="I194" s="2"/>
      <c r="J194" s="2"/>
      <c r="K194" s="2"/>
      <c r="L194" s="2"/>
      <c r="M194" s="2"/>
      <c r="N194" s="2"/>
      <c r="O194" s="2"/>
      <c r="P194" s="2"/>
      <c r="Q194" s="2"/>
      <c r="R194" s="2"/>
      <c r="S194" s="2"/>
      <c r="T194" s="2"/>
      <c r="U194" s="2"/>
      <c r="V194" s="2"/>
      <c r="W194" s="2"/>
      <c r="X194" s="2"/>
      <c r="Y194" s="2"/>
      <c r="Z194" s="2"/>
    </row>
    <row r="195" ht="15.75" customHeight="1">
      <c r="A195" s="1"/>
      <c r="B195" s="1"/>
      <c r="C195" s="1"/>
      <c r="D195" s="1"/>
      <c r="E195" s="1"/>
      <c r="F195" s="1"/>
      <c r="G195" s="2"/>
      <c r="H195" s="2"/>
      <c r="I195" s="2"/>
      <c r="J195" s="2"/>
      <c r="K195" s="2"/>
      <c r="L195" s="2"/>
      <c r="M195" s="2"/>
      <c r="N195" s="2"/>
      <c r="O195" s="2"/>
      <c r="P195" s="2"/>
      <c r="Q195" s="2"/>
      <c r="R195" s="2"/>
      <c r="S195" s="2"/>
      <c r="T195" s="2"/>
      <c r="U195" s="2"/>
      <c r="V195" s="2"/>
      <c r="W195" s="2"/>
      <c r="X195" s="2"/>
      <c r="Y195" s="2"/>
      <c r="Z195" s="2"/>
    </row>
    <row r="196" ht="15.75" customHeight="1">
      <c r="A196" s="1"/>
      <c r="B196" s="1"/>
      <c r="C196" s="1"/>
      <c r="D196" s="1"/>
      <c r="E196" s="1"/>
      <c r="F196" s="1"/>
      <c r="G196" s="2"/>
      <c r="H196" s="2"/>
      <c r="I196" s="2"/>
      <c r="J196" s="2"/>
      <c r="K196" s="2"/>
      <c r="L196" s="2"/>
      <c r="M196" s="2"/>
      <c r="N196" s="2"/>
      <c r="O196" s="2"/>
      <c r="P196" s="2"/>
      <c r="Q196" s="2"/>
      <c r="R196" s="2"/>
      <c r="S196" s="2"/>
      <c r="T196" s="2"/>
      <c r="U196" s="2"/>
      <c r="V196" s="2"/>
      <c r="W196" s="2"/>
      <c r="X196" s="2"/>
      <c r="Y196" s="2"/>
      <c r="Z196" s="2"/>
    </row>
    <row r="197" ht="15.75" customHeight="1">
      <c r="A197" s="1"/>
      <c r="B197" s="1"/>
      <c r="C197" s="1"/>
      <c r="D197" s="1"/>
      <c r="E197" s="1"/>
      <c r="F197" s="1"/>
      <c r="G197" s="2"/>
      <c r="H197" s="2"/>
      <c r="I197" s="2"/>
      <c r="J197" s="2"/>
      <c r="K197" s="2"/>
      <c r="L197" s="2"/>
      <c r="M197" s="2"/>
      <c r="N197" s="2"/>
      <c r="O197" s="2"/>
      <c r="P197" s="2"/>
      <c r="Q197" s="2"/>
      <c r="R197" s="2"/>
      <c r="S197" s="2"/>
      <c r="T197" s="2"/>
      <c r="U197" s="2"/>
      <c r="V197" s="2"/>
      <c r="W197" s="2"/>
      <c r="X197" s="2"/>
      <c r="Y197" s="2"/>
      <c r="Z197" s="2"/>
    </row>
    <row r="198" ht="15.75" customHeight="1">
      <c r="A198" s="1"/>
      <c r="B198" s="1"/>
      <c r="C198" s="1"/>
      <c r="D198" s="1"/>
      <c r="E198" s="1"/>
      <c r="F198" s="1"/>
      <c r="G198" s="2"/>
      <c r="H198" s="2"/>
      <c r="I198" s="2"/>
      <c r="J198" s="2"/>
      <c r="K198" s="2"/>
      <c r="L198" s="2"/>
      <c r="M198" s="2"/>
      <c r="N198" s="2"/>
      <c r="O198" s="2"/>
      <c r="P198" s="2"/>
      <c r="Q198" s="2"/>
      <c r="R198" s="2"/>
      <c r="S198" s="2"/>
      <c r="T198" s="2"/>
      <c r="U198" s="2"/>
      <c r="V198" s="2"/>
      <c r="W198" s="2"/>
      <c r="X198" s="2"/>
      <c r="Y198" s="2"/>
      <c r="Z198" s="2"/>
    </row>
    <row r="199" ht="15.75" customHeight="1">
      <c r="A199" s="1"/>
      <c r="B199" s="1"/>
      <c r="C199" s="1"/>
      <c r="D199" s="1"/>
      <c r="E199" s="1"/>
      <c r="F199" s="1"/>
      <c r="G199" s="2"/>
      <c r="H199" s="2"/>
      <c r="I199" s="2"/>
      <c r="J199" s="2"/>
      <c r="K199" s="2"/>
      <c r="L199" s="2"/>
      <c r="M199" s="2"/>
      <c r="N199" s="2"/>
      <c r="O199" s="2"/>
      <c r="P199" s="2"/>
      <c r="Q199" s="2"/>
      <c r="R199" s="2"/>
      <c r="S199" s="2"/>
      <c r="T199" s="2"/>
      <c r="U199" s="2"/>
      <c r="V199" s="2"/>
      <c r="W199" s="2"/>
      <c r="X199" s="2"/>
      <c r="Y199" s="2"/>
      <c r="Z199" s="2"/>
    </row>
    <row r="200" ht="15.75" customHeight="1">
      <c r="A200" s="1"/>
      <c r="B200" s="1"/>
      <c r="C200" s="1"/>
      <c r="D200" s="1"/>
      <c r="E200" s="1"/>
      <c r="F200" s="1"/>
      <c r="G200" s="2"/>
      <c r="H200" s="2"/>
      <c r="I200" s="2"/>
      <c r="J200" s="2"/>
      <c r="K200" s="2"/>
      <c r="L200" s="2"/>
      <c r="M200" s="2"/>
      <c r="N200" s="2"/>
      <c r="O200" s="2"/>
      <c r="P200" s="2"/>
      <c r="Q200" s="2"/>
      <c r="R200" s="2"/>
      <c r="S200" s="2"/>
      <c r="T200" s="2"/>
      <c r="U200" s="2"/>
      <c r="V200" s="2"/>
      <c r="W200" s="2"/>
      <c r="X200" s="2"/>
      <c r="Y200" s="2"/>
      <c r="Z200" s="2"/>
    </row>
    <row r="201" ht="15.75" customHeight="1">
      <c r="A201" s="1"/>
      <c r="B201" s="1"/>
      <c r="C201" s="1"/>
      <c r="D201" s="1"/>
      <c r="E201" s="1"/>
      <c r="F201" s="1"/>
      <c r="G201" s="2"/>
      <c r="H201" s="2"/>
      <c r="I201" s="2"/>
      <c r="J201" s="2"/>
      <c r="K201" s="2"/>
      <c r="L201" s="2"/>
      <c r="M201" s="2"/>
      <c r="N201" s="2"/>
      <c r="O201" s="2"/>
      <c r="P201" s="2"/>
      <c r="Q201" s="2"/>
      <c r="R201" s="2"/>
      <c r="S201" s="2"/>
      <c r="T201" s="2"/>
      <c r="U201" s="2"/>
      <c r="V201" s="2"/>
      <c r="W201" s="2"/>
      <c r="X201" s="2"/>
      <c r="Y201" s="2"/>
      <c r="Z201" s="2"/>
    </row>
    <row r="202" ht="15.75" customHeight="1">
      <c r="A202" s="1"/>
      <c r="B202" s="1"/>
      <c r="C202" s="1"/>
      <c r="D202" s="1"/>
      <c r="E202" s="1"/>
      <c r="F202" s="1"/>
      <c r="G202" s="2"/>
      <c r="H202" s="2"/>
      <c r="I202" s="2"/>
      <c r="J202" s="2"/>
      <c r="K202" s="2"/>
      <c r="L202" s="2"/>
      <c r="M202" s="2"/>
      <c r="N202" s="2"/>
      <c r="O202" s="2"/>
      <c r="P202" s="2"/>
      <c r="Q202" s="2"/>
      <c r="R202" s="2"/>
      <c r="S202" s="2"/>
      <c r="T202" s="2"/>
      <c r="U202" s="2"/>
      <c r="V202" s="2"/>
      <c r="W202" s="2"/>
      <c r="X202" s="2"/>
      <c r="Y202" s="2"/>
      <c r="Z202" s="2"/>
    </row>
    <row r="203" ht="15.75" customHeight="1">
      <c r="A203" s="1"/>
      <c r="B203" s="1"/>
      <c r="C203" s="1"/>
      <c r="D203" s="1"/>
      <c r="E203" s="1"/>
      <c r="F203" s="1"/>
      <c r="G203" s="2"/>
      <c r="H203" s="2"/>
      <c r="I203" s="2"/>
      <c r="J203" s="2"/>
      <c r="K203" s="2"/>
      <c r="L203" s="2"/>
      <c r="M203" s="2"/>
      <c r="N203" s="2"/>
      <c r="O203" s="2"/>
      <c r="P203" s="2"/>
      <c r="Q203" s="2"/>
      <c r="R203" s="2"/>
      <c r="S203" s="2"/>
      <c r="T203" s="2"/>
      <c r="U203" s="2"/>
      <c r="V203" s="2"/>
      <c r="W203" s="2"/>
      <c r="X203" s="2"/>
      <c r="Y203" s="2"/>
      <c r="Z203" s="2"/>
    </row>
    <row r="204" ht="15.75" customHeight="1">
      <c r="A204" s="1"/>
      <c r="B204" s="1"/>
      <c r="C204" s="1"/>
      <c r="D204" s="1"/>
      <c r="E204" s="1"/>
      <c r="F204" s="1"/>
      <c r="G204" s="2"/>
      <c r="H204" s="2"/>
      <c r="I204" s="2"/>
      <c r="J204" s="2"/>
      <c r="K204" s="2"/>
      <c r="L204" s="2"/>
      <c r="M204" s="2"/>
      <c r="N204" s="2"/>
      <c r="O204" s="2"/>
      <c r="P204" s="2"/>
      <c r="Q204" s="2"/>
      <c r="R204" s="2"/>
      <c r="S204" s="2"/>
      <c r="T204" s="2"/>
      <c r="U204" s="2"/>
      <c r="V204" s="2"/>
      <c r="W204" s="2"/>
      <c r="X204" s="2"/>
      <c r="Y204" s="2"/>
      <c r="Z204" s="2"/>
    </row>
    <row r="205" ht="15.75" customHeight="1">
      <c r="A205" s="1"/>
      <c r="B205" s="1"/>
      <c r="C205" s="1"/>
      <c r="D205" s="1"/>
      <c r="E205" s="1"/>
      <c r="F205" s="1"/>
      <c r="G205" s="2"/>
      <c r="H205" s="2"/>
      <c r="I205" s="2"/>
      <c r="J205" s="2"/>
      <c r="K205" s="2"/>
      <c r="L205" s="2"/>
      <c r="M205" s="2"/>
      <c r="N205" s="2"/>
      <c r="O205" s="2"/>
      <c r="P205" s="2"/>
      <c r="Q205" s="2"/>
      <c r="R205" s="2"/>
      <c r="S205" s="2"/>
      <c r="T205" s="2"/>
      <c r="U205" s="2"/>
      <c r="V205" s="2"/>
      <c r="W205" s="2"/>
      <c r="X205" s="2"/>
      <c r="Y205" s="2"/>
      <c r="Z205" s="2"/>
    </row>
    <row r="206" ht="15.75" customHeight="1">
      <c r="A206" s="1"/>
      <c r="B206" s="1"/>
      <c r="C206" s="1"/>
      <c r="D206" s="1"/>
      <c r="E206" s="1"/>
      <c r="F206" s="1"/>
      <c r="G206" s="2"/>
      <c r="H206" s="2"/>
      <c r="I206" s="2"/>
      <c r="J206" s="2"/>
      <c r="K206" s="2"/>
      <c r="L206" s="2"/>
      <c r="M206" s="2"/>
      <c r="N206" s="2"/>
      <c r="O206" s="2"/>
      <c r="P206" s="2"/>
      <c r="Q206" s="2"/>
      <c r="R206" s="2"/>
      <c r="S206" s="2"/>
      <c r="T206" s="2"/>
      <c r="U206" s="2"/>
      <c r="V206" s="2"/>
      <c r="W206" s="2"/>
      <c r="X206" s="2"/>
      <c r="Y206" s="2"/>
      <c r="Z206" s="2"/>
    </row>
    <row r="207" ht="15.75" customHeight="1">
      <c r="A207" s="1"/>
      <c r="B207" s="1"/>
      <c r="C207" s="1"/>
      <c r="D207" s="1"/>
      <c r="E207" s="1"/>
      <c r="F207" s="1"/>
      <c r="G207" s="2"/>
      <c r="H207" s="2"/>
      <c r="I207" s="2"/>
      <c r="J207" s="2"/>
      <c r="K207" s="2"/>
      <c r="L207" s="2"/>
      <c r="M207" s="2"/>
      <c r="N207" s="2"/>
      <c r="O207" s="2"/>
      <c r="P207" s="2"/>
      <c r="Q207" s="2"/>
      <c r="R207" s="2"/>
      <c r="S207" s="2"/>
      <c r="T207" s="2"/>
      <c r="U207" s="2"/>
      <c r="V207" s="2"/>
      <c r="W207" s="2"/>
      <c r="X207" s="2"/>
      <c r="Y207" s="2"/>
      <c r="Z207" s="2"/>
    </row>
    <row r="208" ht="15.75" customHeight="1">
      <c r="A208" s="1"/>
      <c r="B208" s="1"/>
      <c r="C208" s="1"/>
      <c r="D208" s="1"/>
      <c r="E208" s="1"/>
      <c r="F208" s="1"/>
      <c r="G208" s="2"/>
      <c r="H208" s="2"/>
      <c r="I208" s="2"/>
      <c r="J208" s="2"/>
      <c r="K208" s="2"/>
      <c r="L208" s="2"/>
      <c r="M208" s="2"/>
      <c r="N208" s="2"/>
      <c r="O208" s="2"/>
      <c r="P208" s="2"/>
      <c r="Q208" s="2"/>
      <c r="R208" s="2"/>
      <c r="S208" s="2"/>
      <c r="T208" s="2"/>
      <c r="U208" s="2"/>
      <c r="V208" s="2"/>
      <c r="W208" s="2"/>
      <c r="X208" s="2"/>
      <c r="Y208" s="2"/>
      <c r="Z208" s="2"/>
    </row>
    <row r="209" ht="15.75" customHeight="1">
      <c r="A209" s="1"/>
      <c r="B209" s="1"/>
      <c r="C209" s="1"/>
      <c r="D209" s="1"/>
      <c r="E209" s="1"/>
      <c r="F209" s="1"/>
      <c r="G209" s="2"/>
      <c r="H209" s="2"/>
      <c r="I209" s="2"/>
      <c r="J209" s="2"/>
      <c r="K209" s="2"/>
      <c r="L209" s="2"/>
      <c r="M209" s="2"/>
      <c r="N209" s="2"/>
      <c r="O209" s="2"/>
      <c r="P209" s="2"/>
      <c r="Q209" s="2"/>
      <c r="R209" s="2"/>
      <c r="S209" s="2"/>
      <c r="T209" s="2"/>
      <c r="U209" s="2"/>
      <c r="V209" s="2"/>
      <c r="W209" s="2"/>
      <c r="X209" s="2"/>
      <c r="Y209" s="2"/>
      <c r="Z209" s="2"/>
    </row>
    <row r="210" ht="15.75" customHeight="1">
      <c r="A210" s="1"/>
      <c r="B210" s="1"/>
      <c r="C210" s="1"/>
      <c r="D210" s="1"/>
      <c r="E210" s="1"/>
      <c r="F210" s="1"/>
      <c r="G210" s="2"/>
      <c r="H210" s="2"/>
      <c r="I210" s="2"/>
      <c r="J210" s="2"/>
      <c r="K210" s="2"/>
      <c r="L210" s="2"/>
      <c r="M210" s="2"/>
      <c r="N210" s="2"/>
      <c r="O210" s="2"/>
      <c r="P210" s="2"/>
      <c r="Q210" s="2"/>
      <c r="R210" s="2"/>
      <c r="S210" s="2"/>
      <c r="T210" s="2"/>
      <c r="U210" s="2"/>
      <c r="V210" s="2"/>
      <c r="W210" s="2"/>
      <c r="X210" s="2"/>
      <c r="Y210" s="2"/>
      <c r="Z210" s="2"/>
    </row>
    <row r="211" ht="15.75" customHeight="1">
      <c r="A211" s="1"/>
      <c r="B211" s="1"/>
      <c r="C211" s="1"/>
      <c r="D211" s="1"/>
      <c r="E211" s="1"/>
      <c r="F211" s="1"/>
      <c r="G211" s="2"/>
      <c r="H211" s="2"/>
      <c r="I211" s="2"/>
      <c r="J211" s="2"/>
      <c r="K211" s="2"/>
      <c r="L211" s="2"/>
      <c r="M211" s="2"/>
      <c r="N211" s="2"/>
      <c r="O211" s="2"/>
      <c r="P211" s="2"/>
      <c r="Q211" s="2"/>
      <c r="R211" s="2"/>
      <c r="S211" s="2"/>
      <c r="T211" s="2"/>
      <c r="U211" s="2"/>
      <c r="V211" s="2"/>
      <c r="W211" s="2"/>
      <c r="X211" s="2"/>
      <c r="Y211" s="2"/>
      <c r="Z211" s="2"/>
    </row>
    <row r="212" ht="15.75" customHeight="1">
      <c r="A212" s="1"/>
      <c r="B212" s="1"/>
      <c r="C212" s="1"/>
      <c r="D212" s="1"/>
      <c r="E212" s="1"/>
      <c r="F212" s="1"/>
      <c r="G212" s="2"/>
      <c r="H212" s="2"/>
      <c r="I212" s="2"/>
      <c r="J212" s="2"/>
      <c r="K212" s="2"/>
      <c r="L212" s="2"/>
      <c r="M212" s="2"/>
      <c r="N212" s="2"/>
      <c r="O212" s="2"/>
      <c r="P212" s="2"/>
      <c r="Q212" s="2"/>
      <c r="R212" s="2"/>
      <c r="S212" s="2"/>
      <c r="T212" s="2"/>
      <c r="U212" s="2"/>
      <c r="V212" s="2"/>
      <c r="W212" s="2"/>
      <c r="X212" s="2"/>
      <c r="Y212" s="2"/>
      <c r="Z212" s="2"/>
    </row>
    <row r="213" ht="15.75" customHeight="1">
      <c r="A213" s="1"/>
      <c r="B213" s="1"/>
      <c r="C213" s="1"/>
      <c r="D213" s="1"/>
      <c r="E213" s="1"/>
      <c r="F213" s="1"/>
      <c r="G213" s="2"/>
      <c r="H213" s="2"/>
      <c r="I213" s="2"/>
      <c r="J213" s="2"/>
      <c r="K213" s="2"/>
      <c r="L213" s="2"/>
      <c r="M213" s="2"/>
      <c r="N213" s="2"/>
      <c r="O213" s="2"/>
      <c r="P213" s="2"/>
      <c r="Q213" s="2"/>
      <c r="R213" s="2"/>
      <c r="S213" s="2"/>
      <c r="T213" s="2"/>
      <c r="U213" s="2"/>
      <c r="V213" s="2"/>
      <c r="W213" s="2"/>
      <c r="X213" s="2"/>
      <c r="Y213" s="2"/>
      <c r="Z213" s="2"/>
    </row>
    <row r="214" ht="15.75" customHeight="1">
      <c r="A214" s="1"/>
      <c r="B214" s="1"/>
      <c r="C214" s="1"/>
      <c r="D214" s="1"/>
      <c r="E214" s="1"/>
      <c r="F214" s="1"/>
      <c r="G214" s="2"/>
      <c r="H214" s="2"/>
      <c r="I214" s="2"/>
      <c r="J214" s="2"/>
      <c r="K214" s="2"/>
      <c r="L214" s="2"/>
      <c r="M214" s="2"/>
      <c r="N214" s="2"/>
      <c r="O214" s="2"/>
      <c r="P214" s="2"/>
      <c r="Q214" s="2"/>
      <c r="R214" s="2"/>
      <c r="S214" s="2"/>
      <c r="T214" s="2"/>
      <c r="U214" s="2"/>
      <c r="V214" s="2"/>
      <c r="W214" s="2"/>
      <c r="X214" s="2"/>
      <c r="Y214" s="2"/>
      <c r="Z214" s="2"/>
    </row>
    <row r="215" ht="15.75" customHeight="1">
      <c r="A215" s="1"/>
      <c r="B215" s="1"/>
      <c r="C215" s="1"/>
      <c r="D215" s="1"/>
      <c r="E215" s="1"/>
      <c r="F215" s="1"/>
      <c r="G215" s="2"/>
      <c r="H215" s="2"/>
      <c r="I215" s="2"/>
      <c r="J215" s="2"/>
      <c r="K215" s="2"/>
      <c r="L215" s="2"/>
      <c r="M215" s="2"/>
      <c r="N215" s="2"/>
      <c r="O215" s="2"/>
      <c r="P215" s="2"/>
      <c r="Q215" s="2"/>
      <c r="R215" s="2"/>
      <c r="S215" s="2"/>
      <c r="T215" s="2"/>
      <c r="U215" s="2"/>
      <c r="V215" s="2"/>
      <c r="W215" s="2"/>
      <c r="X215" s="2"/>
      <c r="Y215" s="2"/>
      <c r="Z215" s="2"/>
    </row>
    <row r="216" ht="15.75" customHeight="1">
      <c r="A216" s="1"/>
      <c r="B216" s="1"/>
      <c r="C216" s="1"/>
      <c r="D216" s="1"/>
      <c r="E216" s="1"/>
      <c r="F216" s="1"/>
      <c r="G216" s="2"/>
      <c r="H216" s="2"/>
      <c r="I216" s="2"/>
      <c r="J216" s="2"/>
      <c r="K216" s="2"/>
      <c r="L216" s="2"/>
      <c r="M216" s="2"/>
      <c r="N216" s="2"/>
      <c r="O216" s="2"/>
      <c r="P216" s="2"/>
      <c r="Q216" s="2"/>
      <c r="R216" s="2"/>
      <c r="S216" s="2"/>
      <c r="T216" s="2"/>
      <c r="U216" s="2"/>
      <c r="V216" s="2"/>
      <c r="W216" s="2"/>
      <c r="X216" s="2"/>
      <c r="Y216" s="2"/>
      <c r="Z216" s="2"/>
    </row>
    <row r="217" ht="15.75" customHeight="1">
      <c r="A217" s="1"/>
      <c r="B217" s="1"/>
      <c r="C217" s="1"/>
      <c r="D217" s="1"/>
      <c r="E217" s="1"/>
      <c r="F217" s="1"/>
      <c r="G217" s="2"/>
      <c r="H217" s="2"/>
      <c r="I217" s="2"/>
      <c r="J217" s="2"/>
      <c r="K217" s="2"/>
      <c r="L217" s="2"/>
      <c r="M217" s="2"/>
      <c r="N217" s="2"/>
      <c r="O217" s="2"/>
      <c r="P217" s="2"/>
      <c r="Q217" s="2"/>
      <c r="R217" s="2"/>
      <c r="S217" s="2"/>
      <c r="T217" s="2"/>
      <c r="U217" s="2"/>
      <c r="V217" s="2"/>
      <c r="W217" s="2"/>
      <c r="X217" s="2"/>
      <c r="Y217" s="2"/>
      <c r="Z217" s="2"/>
    </row>
    <row r="218" ht="15.75" customHeight="1">
      <c r="A218" s="1"/>
      <c r="B218" s="1"/>
      <c r="C218" s="1"/>
      <c r="D218" s="1"/>
      <c r="E218" s="1"/>
      <c r="F218" s="1"/>
      <c r="G218" s="2"/>
      <c r="H218" s="2"/>
      <c r="I218" s="2"/>
      <c r="J218" s="2"/>
      <c r="K218" s="2"/>
      <c r="L218" s="2"/>
      <c r="M218" s="2"/>
      <c r="N218" s="2"/>
      <c r="O218" s="2"/>
      <c r="P218" s="2"/>
      <c r="Q218" s="2"/>
      <c r="R218" s="2"/>
      <c r="S218" s="2"/>
      <c r="T218" s="2"/>
      <c r="U218" s="2"/>
      <c r="V218" s="2"/>
      <c r="W218" s="2"/>
      <c r="X218" s="2"/>
      <c r="Y218" s="2"/>
      <c r="Z218" s="2"/>
    </row>
    <row r="219" ht="15.75" customHeight="1">
      <c r="A219" s="1"/>
      <c r="B219" s="1"/>
      <c r="C219" s="1"/>
      <c r="D219" s="1"/>
      <c r="E219" s="1"/>
      <c r="F219" s="1"/>
      <c r="G219" s="2"/>
      <c r="H219" s="2"/>
      <c r="I219" s="2"/>
      <c r="J219" s="2"/>
      <c r="K219" s="2"/>
      <c r="L219" s="2"/>
      <c r="M219" s="2"/>
      <c r="N219" s="2"/>
      <c r="O219" s="2"/>
      <c r="P219" s="2"/>
      <c r="Q219" s="2"/>
      <c r="R219" s="2"/>
      <c r="S219" s="2"/>
      <c r="T219" s="2"/>
      <c r="U219" s="2"/>
      <c r="V219" s="2"/>
      <c r="W219" s="2"/>
      <c r="X219" s="2"/>
      <c r="Y219" s="2"/>
      <c r="Z219" s="2"/>
    </row>
    <row r="220" ht="15.75" customHeight="1">
      <c r="A220" s="1"/>
      <c r="B220" s="1"/>
      <c r="C220" s="1"/>
      <c r="D220" s="1"/>
      <c r="E220" s="1"/>
      <c r="F220" s="1"/>
      <c r="G220" s="2"/>
      <c r="H220" s="2"/>
      <c r="I220" s="2"/>
      <c r="J220" s="2"/>
      <c r="K220" s="2"/>
      <c r="L220" s="2"/>
      <c r="M220" s="2"/>
      <c r="N220" s="2"/>
      <c r="O220" s="2"/>
      <c r="P220" s="2"/>
      <c r="Q220" s="2"/>
      <c r="R220" s="2"/>
      <c r="S220" s="2"/>
      <c r="T220" s="2"/>
      <c r="U220" s="2"/>
      <c r="V220" s="2"/>
      <c r="W220" s="2"/>
      <c r="X220" s="2"/>
      <c r="Y220" s="2"/>
      <c r="Z220" s="2"/>
    </row>
    <row r="221" ht="15.75" customHeight="1">
      <c r="A221" s="1"/>
      <c r="B221" s="1"/>
      <c r="C221" s="1"/>
      <c r="D221" s="1"/>
      <c r="E221" s="1"/>
      <c r="F221" s="1"/>
      <c r="G221" s="2"/>
      <c r="H221" s="2"/>
      <c r="I221" s="2"/>
      <c r="J221" s="2"/>
      <c r="K221" s="2"/>
      <c r="L221" s="2"/>
      <c r="M221" s="2"/>
      <c r="N221" s="2"/>
      <c r="O221" s="2"/>
      <c r="P221" s="2"/>
      <c r="Q221" s="2"/>
      <c r="R221" s="2"/>
      <c r="S221" s="2"/>
      <c r="T221" s="2"/>
      <c r="U221" s="2"/>
      <c r="V221" s="2"/>
      <c r="W221" s="2"/>
      <c r="X221" s="2"/>
      <c r="Y221" s="2"/>
      <c r="Z221" s="2"/>
    </row>
    <row r="222" ht="15.75" customHeight="1">
      <c r="A222" s="1"/>
      <c r="B222" s="1"/>
      <c r="C222" s="1"/>
      <c r="D222" s="1"/>
      <c r="E222" s="1"/>
      <c r="F222" s="1"/>
      <c r="G222" s="2"/>
      <c r="H222" s="2"/>
      <c r="I222" s="2"/>
      <c r="J222" s="2"/>
      <c r="K222" s="2"/>
      <c r="L222" s="2"/>
      <c r="M222" s="2"/>
      <c r="N222" s="2"/>
      <c r="O222" s="2"/>
      <c r="P222" s="2"/>
      <c r="Q222" s="2"/>
      <c r="R222" s="2"/>
      <c r="S222" s="2"/>
      <c r="T222" s="2"/>
      <c r="U222" s="2"/>
      <c r="V222" s="2"/>
      <c r="W222" s="2"/>
      <c r="X222" s="2"/>
      <c r="Y222" s="2"/>
      <c r="Z222" s="2"/>
    </row>
    <row r="223" ht="15.75" customHeight="1">
      <c r="A223" s="1"/>
      <c r="B223" s="1"/>
      <c r="C223" s="1"/>
      <c r="D223" s="1"/>
      <c r="E223" s="1"/>
      <c r="F223" s="1"/>
      <c r="G223" s="2"/>
      <c r="H223" s="2"/>
      <c r="I223" s="2"/>
      <c r="J223" s="2"/>
      <c r="K223" s="2"/>
      <c r="L223" s="2"/>
      <c r="M223" s="2"/>
      <c r="N223" s="2"/>
      <c r="O223" s="2"/>
      <c r="P223" s="2"/>
      <c r="Q223" s="2"/>
      <c r="R223" s="2"/>
      <c r="S223" s="2"/>
      <c r="T223" s="2"/>
      <c r="U223" s="2"/>
      <c r="V223" s="2"/>
      <c r="W223" s="2"/>
      <c r="X223" s="2"/>
      <c r="Y223" s="2"/>
      <c r="Z223" s="2"/>
    </row>
    <row r="224" ht="15.75" customHeight="1">
      <c r="A224" s="1"/>
      <c r="B224" s="1"/>
      <c r="C224" s="1"/>
      <c r="D224" s="1"/>
      <c r="E224" s="1"/>
      <c r="F224" s="1"/>
      <c r="G224" s="2"/>
      <c r="H224" s="2"/>
      <c r="I224" s="2"/>
      <c r="J224" s="2"/>
      <c r="K224" s="2"/>
      <c r="L224" s="2"/>
      <c r="M224" s="2"/>
      <c r="N224" s="2"/>
      <c r="O224" s="2"/>
      <c r="P224" s="2"/>
      <c r="Q224" s="2"/>
      <c r="R224" s="2"/>
      <c r="S224" s="2"/>
      <c r="T224" s="2"/>
      <c r="U224" s="2"/>
      <c r="V224" s="2"/>
      <c r="W224" s="2"/>
      <c r="X224" s="2"/>
      <c r="Y224" s="2"/>
      <c r="Z224" s="2"/>
    </row>
    <row r="225" ht="15.75" customHeight="1">
      <c r="A225" s="1"/>
      <c r="B225" s="1"/>
      <c r="C225" s="1"/>
      <c r="D225" s="1"/>
      <c r="E225" s="1"/>
      <c r="F225" s="1"/>
      <c r="G225" s="2"/>
      <c r="H225" s="2"/>
      <c r="I225" s="2"/>
      <c r="J225" s="2"/>
      <c r="K225" s="2"/>
      <c r="L225" s="2"/>
      <c r="M225" s="2"/>
      <c r="N225" s="2"/>
      <c r="O225" s="2"/>
      <c r="P225" s="2"/>
      <c r="Q225" s="2"/>
      <c r="R225" s="2"/>
      <c r="S225" s="2"/>
      <c r="T225" s="2"/>
      <c r="U225" s="2"/>
      <c r="V225" s="2"/>
      <c r="W225" s="2"/>
      <c r="X225" s="2"/>
      <c r="Y225" s="2"/>
      <c r="Z225" s="2"/>
    </row>
    <row r="226" ht="15.75" customHeight="1">
      <c r="A226" s="1"/>
      <c r="B226" s="1"/>
      <c r="C226" s="1"/>
      <c r="D226" s="1"/>
      <c r="E226" s="1"/>
      <c r="F226" s="1"/>
      <c r="G226" s="2"/>
      <c r="H226" s="2"/>
      <c r="I226" s="2"/>
      <c r="J226" s="2"/>
      <c r="K226" s="2"/>
      <c r="L226" s="2"/>
      <c r="M226" s="2"/>
      <c r="N226" s="2"/>
      <c r="O226" s="2"/>
      <c r="P226" s="2"/>
      <c r="Q226" s="2"/>
      <c r="R226" s="2"/>
      <c r="S226" s="2"/>
      <c r="T226" s="2"/>
      <c r="U226" s="2"/>
      <c r="V226" s="2"/>
      <c r="W226" s="2"/>
      <c r="X226" s="2"/>
      <c r="Y226" s="2"/>
      <c r="Z226" s="2"/>
    </row>
    <row r="227" ht="15.75" customHeight="1">
      <c r="A227" s="1"/>
      <c r="B227" s="1"/>
      <c r="C227" s="1"/>
      <c r="D227" s="1"/>
      <c r="E227" s="1"/>
      <c r="F227" s="1"/>
      <c r="G227" s="2"/>
      <c r="H227" s="2"/>
      <c r="I227" s="2"/>
      <c r="J227" s="2"/>
      <c r="K227" s="2"/>
      <c r="L227" s="2"/>
      <c r="M227" s="2"/>
      <c r="N227" s="2"/>
      <c r="O227" s="2"/>
      <c r="P227" s="2"/>
      <c r="Q227" s="2"/>
      <c r="R227" s="2"/>
      <c r="S227" s="2"/>
      <c r="T227" s="2"/>
      <c r="U227" s="2"/>
      <c r="V227" s="2"/>
      <c r="W227" s="2"/>
      <c r="X227" s="2"/>
      <c r="Y227" s="2"/>
      <c r="Z227" s="2"/>
    </row>
    <row r="228" ht="15.75" customHeight="1">
      <c r="A228" s="1"/>
      <c r="B228" s="1"/>
      <c r="C228" s="1"/>
      <c r="D228" s="1"/>
      <c r="E228" s="1"/>
      <c r="F228" s="1"/>
      <c r="G228" s="2"/>
      <c r="H228" s="2"/>
      <c r="I228" s="2"/>
      <c r="J228" s="2"/>
      <c r="K228" s="2"/>
      <c r="L228" s="2"/>
      <c r="M228" s="2"/>
      <c r="N228" s="2"/>
      <c r="O228" s="2"/>
      <c r="P228" s="2"/>
      <c r="Q228" s="2"/>
      <c r="R228" s="2"/>
      <c r="S228" s="2"/>
      <c r="T228" s="2"/>
      <c r="U228" s="2"/>
      <c r="V228" s="2"/>
      <c r="W228" s="2"/>
      <c r="X228" s="2"/>
      <c r="Y228" s="2"/>
      <c r="Z228" s="2"/>
    </row>
    <row r="229" ht="15.75" customHeight="1">
      <c r="A229" s="1"/>
      <c r="B229" s="1"/>
      <c r="C229" s="1"/>
      <c r="D229" s="1"/>
      <c r="E229" s="1"/>
      <c r="F229" s="1"/>
      <c r="G229" s="2"/>
      <c r="H229" s="2"/>
      <c r="I229" s="2"/>
      <c r="J229" s="2"/>
      <c r="K229" s="2"/>
      <c r="L229" s="2"/>
      <c r="M229" s="2"/>
      <c r="N229" s="2"/>
      <c r="O229" s="2"/>
      <c r="P229" s="2"/>
      <c r="Q229" s="2"/>
      <c r="R229" s="2"/>
      <c r="S229" s="2"/>
      <c r="T229" s="2"/>
      <c r="U229" s="2"/>
      <c r="V229" s="2"/>
      <c r="W229" s="2"/>
      <c r="X229" s="2"/>
      <c r="Y229" s="2"/>
      <c r="Z229" s="2"/>
    </row>
    <row r="230" ht="15.75" customHeight="1">
      <c r="A230" s="1"/>
      <c r="B230" s="1"/>
      <c r="C230" s="1"/>
      <c r="D230" s="1"/>
      <c r="E230" s="1"/>
      <c r="F230" s="1"/>
      <c r="G230" s="2"/>
      <c r="H230" s="2"/>
      <c r="I230" s="2"/>
      <c r="J230" s="2"/>
      <c r="K230" s="2"/>
      <c r="L230" s="2"/>
      <c r="M230" s="2"/>
      <c r="N230" s="2"/>
      <c r="O230" s="2"/>
      <c r="P230" s="2"/>
      <c r="Q230" s="2"/>
      <c r="R230" s="2"/>
      <c r="S230" s="2"/>
      <c r="T230" s="2"/>
      <c r="U230" s="2"/>
      <c r="V230" s="2"/>
      <c r="W230" s="2"/>
      <c r="X230" s="2"/>
      <c r="Y230" s="2"/>
      <c r="Z230" s="2"/>
    </row>
    <row r="231" ht="15.75" customHeight="1">
      <c r="A231" s="1"/>
      <c r="B231" s="1"/>
      <c r="C231" s="1"/>
      <c r="D231" s="1"/>
      <c r="E231" s="1"/>
      <c r="F231" s="1"/>
      <c r="G231" s="2"/>
      <c r="H231" s="2"/>
      <c r="I231" s="2"/>
      <c r="J231" s="2"/>
      <c r="K231" s="2"/>
      <c r="L231" s="2"/>
      <c r="M231" s="2"/>
      <c r="N231" s="2"/>
      <c r="O231" s="2"/>
      <c r="P231" s="2"/>
      <c r="Q231" s="2"/>
      <c r="R231" s="2"/>
      <c r="S231" s="2"/>
      <c r="T231" s="2"/>
      <c r="U231" s="2"/>
      <c r="V231" s="2"/>
      <c r="W231" s="2"/>
      <c r="X231" s="2"/>
      <c r="Y231" s="2"/>
      <c r="Z231" s="2"/>
    </row>
    <row r="232" ht="15.75" customHeight="1">
      <c r="A232" s="1"/>
      <c r="B232" s="1"/>
      <c r="C232" s="1"/>
      <c r="D232" s="1"/>
      <c r="E232" s="1"/>
      <c r="F232" s="1"/>
      <c r="G232" s="2"/>
      <c r="H232" s="2"/>
      <c r="I232" s="2"/>
      <c r="J232" s="2"/>
      <c r="K232" s="2"/>
      <c r="L232" s="2"/>
      <c r="M232" s="2"/>
      <c r="N232" s="2"/>
      <c r="O232" s="2"/>
      <c r="P232" s="2"/>
      <c r="Q232" s="2"/>
      <c r="R232" s="2"/>
      <c r="S232" s="2"/>
      <c r="T232" s="2"/>
      <c r="U232" s="2"/>
      <c r="V232" s="2"/>
      <c r="W232" s="2"/>
      <c r="X232" s="2"/>
      <c r="Y232" s="2"/>
      <c r="Z232" s="2"/>
    </row>
    <row r="233" ht="15.75" customHeight="1">
      <c r="A233" s="1"/>
      <c r="B233" s="1"/>
      <c r="C233" s="1"/>
      <c r="D233" s="1"/>
      <c r="E233" s="1"/>
      <c r="F233" s="1"/>
      <c r="G233" s="2"/>
      <c r="H233" s="2"/>
      <c r="I233" s="2"/>
      <c r="J233" s="2"/>
      <c r="K233" s="2"/>
      <c r="L233" s="2"/>
      <c r="M233" s="2"/>
      <c r="N233" s="2"/>
      <c r="O233" s="2"/>
      <c r="P233" s="2"/>
      <c r="Q233" s="2"/>
      <c r="R233" s="2"/>
      <c r="S233" s="2"/>
      <c r="T233" s="2"/>
      <c r="U233" s="2"/>
      <c r="V233" s="2"/>
      <c r="W233" s="2"/>
      <c r="X233" s="2"/>
      <c r="Y233" s="2"/>
      <c r="Z233" s="2"/>
    </row>
    <row r="234" ht="15.75" customHeight="1">
      <c r="A234" s="1"/>
      <c r="B234" s="1"/>
      <c r="C234" s="1"/>
      <c r="D234" s="1"/>
      <c r="E234" s="1"/>
      <c r="F234" s="1"/>
      <c r="G234" s="2"/>
      <c r="H234" s="2"/>
      <c r="I234" s="2"/>
      <c r="J234" s="2"/>
      <c r="K234" s="2"/>
      <c r="L234" s="2"/>
      <c r="M234" s="2"/>
      <c r="N234" s="2"/>
      <c r="O234" s="2"/>
      <c r="P234" s="2"/>
      <c r="Q234" s="2"/>
      <c r="R234" s="2"/>
      <c r="S234" s="2"/>
      <c r="T234" s="2"/>
      <c r="U234" s="2"/>
      <c r="V234" s="2"/>
      <c r="W234" s="2"/>
      <c r="X234" s="2"/>
      <c r="Y234" s="2"/>
      <c r="Z234" s="2"/>
    </row>
    <row r="235" ht="15.75" customHeight="1">
      <c r="A235" s="1"/>
      <c r="B235" s="1"/>
      <c r="C235" s="1"/>
      <c r="D235" s="1"/>
      <c r="E235" s="1"/>
      <c r="F235" s="1"/>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A1:F1"/>
    <mergeCell ref="A2:F2"/>
    <mergeCell ref="A19:F19"/>
    <mergeCell ref="A34:F34"/>
    <mergeCell ref="A35:F35"/>
  </mergeCells>
  <conditionalFormatting sqref="F30">
    <cfRule type="cellIs" dxfId="1" priority="1" operator="greaterThan">
      <formula>B4</formula>
    </cfRule>
  </conditionalFormatting>
  <conditionalFormatting sqref="F30">
    <cfRule type="cellIs" dxfId="0" priority="2" operator="lessThanOrEqual">
      <formula>B4</formula>
    </cfRule>
  </conditionalFormatting>
  <conditionalFormatting sqref="F31:F32">
    <cfRule type="cellIs" dxfId="1" priority="3" operator="lessThan">
      <formula>0</formula>
    </cfRule>
  </conditionalFormatting>
  <conditionalFormatting sqref="F31:F32">
    <cfRule type="cellIs" dxfId="0" priority="4" operator="greaterThanOrEqual">
      <formula>0</formula>
    </cfRule>
  </conditionalFormatting>
  <conditionalFormatting sqref="F6 F17 F22 F28">
    <cfRule type="cellIs" dxfId="1" priority="5" operator="notEqual">
      <formula>1</formula>
    </cfRule>
  </conditionalFormatting>
  <conditionalFormatting sqref="B13:E13">
    <cfRule type="cellIs" dxfId="2" priority="6" operator="greaterThan">
      <formula>0</formula>
    </cfRule>
  </conditionalFormatting>
  <conditionalFormatting sqref="B13:E13">
    <cfRule type="cellIs" dxfId="3" priority="7" operator="lessThan">
      <formula>0</formula>
    </cfRule>
  </conditionalFormatting>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C6B8A"/>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49.57"/>
    <col customWidth="1" min="2" max="5" width="13.0"/>
    <col customWidth="1" min="6" max="6" width="16.0"/>
  </cols>
  <sheetData>
    <row r="1" ht="21.75" customHeight="1">
      <c r="A1" s="9" t="s">
        <v>151</v>
      </c>
      <c r="B1" s="4"/>
      <c r="C1" s="4"/>
      <c r="D1" s="4"/>
      <c r="E1" s="4"/>
      <c r="F1" s="5"/>
      <c r="G1" s="2"/>
      <c r="H1" s="2"/>
      <c r="I1" s="2"/>
      <c r="J1" s="2"/>
      <c r="K1" s="2"/>
      <c r="L1" s="2"/>
      <c r="M1" s="2"/>
      <c r="N1" s="2"/>
      <c r="O1" s="2"/>
      <c r="P1" s="2"/>
      <c r="Q1" s="2"/>
      <c r="R1" s="2"/>
      <c r="S1" s="2"/>
      <c r="T1" s="2"/>
      <c r="U1" s="2"/>
      <c r="V1" s="2"/>
      <c r="W1" s="2"/>
      <c r="X1" s="2"/>
      <c r="Y1" s="2"/>
      <c r="Z1" s="2"/>
    </row>
    <row r="2">
      <c r="A2" s="10" t="s">
        <v>152</v>
      </c>
      <c r="G2" s="2"/>
      <c r="H2" s="2"/>
      <c r="I2" s="2"/>
      <c r="J2" s="2"/>
      <c r="K2" s="2"/>
      <c r="L2" s="2"/>
      <c r="M2" s="2"/>
      <c r="N2" s="2"/>
      <c r="O2" s="2"/>
      <c r="P2" s="2"/>
      <c r="Q2" s="2"/>
      <c r="R2" s="2"/>
      <c r="S2" s="2"/>
      <c r="T2" s="2"/>
      <c r="U2" s="2"/>
      <c r="V2" s="2"/>
      <c r="W2" s="2"/>
      <c r="X2" s="2"/>
      <c r="Y2" s="2"/>
      <c r="Z2" s="2"/>
    </row>
    <row r="3">
      <c r="A3" s="1"/>
      <c r="B3" s="1"/>
      <c r="C3" s="1"/>
      <c r="D3" s="1"/>
      <c r="E3" s="1"/>
      <c r="F3" s="1"/>
      <c r="G3" s="2"/>
      <c r="H3" s="2"/>
      <c r="I3" s="2"/>
      <c r="J3" s="2"/>
      <c r="K3" s="2"/>
      <c r="L3" s="2"/>
      <c r="M3" s="2"/>
      <c r="N3" s="2"/>
      <c r="O3" s="2"/>
      <c r="P3" s="2"/>
      <c r="Q3" s="2"/>
      <c r="R3" s="2"/>
      <c r="S3" s="2"/>
      <c r="T3" s="2"/>
      <c r="U3" s="2"/>
      <c r="V3" s="2"/>
      <c r="W3" s="2"/>
      <c r="X3" s="2"/>
      <c r="Y3" s="2"/>
      <c r="Z3" s="2"/>
    </row>
    <row r="4" ht="15.0" customHeight="1">
      <c r="A4" s="11" t="s">
        <v>153</v>
      </c>
      <c r="B4" s="4"/>
      <c r="C4" s="4"/>
      <c r="D4" s="4"/>
      <c r="E4" s="4"/>
      <c r="F4" s="5"/>
      <c r="G4" s="2"/>
      <c r="H4" s="2"/>
      <c r="I4" s="2"/>
      <c r="J4" s="2"/>
      <c r="K4" s="2"/>
      <c r="L4" s="2"/>
      <c r="M4" s="2"/>
      <c r="N4" s="2"/>
      <c r="O4" s="2"/>
      <c r="P4" s="2"/>
      <c r="Q4" s="2"/>
      <c r="R4" s="2"/>
      <c r="S4" s="2"/>
      <c r="T4" s="2"/>
      <c r="U4" s="2"/>
      <c r="V4" s="2"/>
      <c r="W4" s="2"/>
      <c r="X4" s="2"/>
      <c r="Y4" s="2"/>
      <c r="Z4" s="2"/>
    </row>
    <row r="5" ht="15.0" customHeight="1">
      <c r="A5" s="1"/>
      <c r="B5" s="27" t="s">
        <v>44</v>
      </c>
      <c r="C5" s="27" t="s">
        <v>46</v>
      </c>
      <c r="D5" s="27" t="s">
        <v>48</v>
      </c>
      <c r="E5" s="27" t="s">
        <v>50</v>
      </c>
      <c r="F5" s="27" t="s">
        <v>128</v>
      </c>
      <c r="G5" s="2"/>
      <c r="H5" s="2"/>
      <c r="I5" s="2"/>
      <c r="J5" s="2"/>
      <c r="K5" s="2"/>
      <c r="L5" s="2"/>
      <c r="M5" s="2"/>
      <c r="N5" s="2"/>
      <c r="O5" s="2"/>
      <c r="P5" s="2"/>
      <c r="Q5" s="2"/>
      <c r="R5" s="2"/>
      <c r="S5" s="2"/>
      <c r="T5" s="2"/>
      <c r="U5" s="2"/>
      <c r="V5" s="2"/>
      <c r="W5" s="2"/>
      <c r="X5" s="2"/>
      <c r="Y5" s="2"/>
      <c r="Z5" s="2"/>
    </row>
    <row r="6" ht="15.0" customHeight="1">
      <c r="A6" s="12" t="s">
        <v>72</v>
      </c>
      <c r="B6" s="17">
        <f>'Monthly Data'!F29</f>
        <v>396800</v>
      </c>
      <c r="C6" s="17">
        <f>'Monthly Data'!F17</f>
        <v>146200</v>
      </c>
      <c r="D6" s="17">
        <f>'Monthly Data'!F41</f>
        <v>53300</v>
      </c>
      <c r="E6" s="17">
        <f>'Monthly Data'!F5</f>
        <v>102000</v>
      </c>
      <c r="F6" s="34">
        <f>SUM(B6:E6)</f>
        <v>698300</v>
      </c>
      <c r="G6" s="2"/>
      <c r="H6" s="2"/>
      <c r="I6" s="2"/>
      <c r="J6" s="2"/>
      <c r="K6" s="2"/>
      <c r="L6" s="2"/>
      <c r="M6" s="2"/>
      <c r="N6" s="2"/>
      <c r="O6" s="2"/>
      <c r="P6" s="2"/>
      <c r="Q6" s="2"/>
      <c r="R6" s="2"/>
      <c r="S6" s="2"/>
      <c r="T6" s="2"/>
      <c r="U6" s="2"/>
      <c r="V6" s="2"/>
      <c r="W6" s="2"/>
      <c r="X6" s="2"/>
      <c r="Y6" s="2"/>
      <c r="Z6" s="2"/>
    </row>
    <row r="7" ht="15.0" customHeight="1">
      <c r="A7" s="12" t="s">
        <v>154</v>
      </c>
      <c r="B7" s="31">
        <f>'Monthly Data'!J29</f>
        <v>31</v>
      </c>
      <c r="C7" s="31">
        <f>'Monthly Data'!J17</f>
        <v>17</v>
      </c>
      <c r="D7" s="31">
        <f>'Monthly Data'!J41</f>
        <v>26</v>
      </c>
      <c r="E7" s="31">
        <f>'Monthly Data'!J5</f>
        <v>17</v>
      </c>
      <c r="F7" s="63">
        <f>F6/F8</f>
        <v>23.71137521</v>
      </c>
      <c r="G7" s="2"/>
      <c r="H7" s="2"/>
      <c r="I7" s="2"/>
      <c r="J7" s="2"/>
      <c r="K7" s="2"/>
      <c r="L7" s="2"/>
      <c r="M7" s="2"/>
      <c r="N7" s="2"/>
      <c r="O7" s="2"/>
      <c r="P7" s="2"/>
      <c r="Q7" s="2"/>
      <c r="R7" s="2"/>
      <c r="S7" s="2"/>
      <c r="T7" s="2"/>
      <c r="U7" s="2"/>
      <c r="V7" s="2"/>
      <c r="W7" s="2"/>
      <c r="X7" s="2"/>
      <c r="Y7" s="2"/>
      <c r="Z7" s="2"/>
    </row>
    <row r="8" ht="15.0" customHeight="1">
      <c r="A8" s="12" t="s">
        <v>74</v>
      </c>
      <c r="B8" s="32">
        <f t="shared" ref="B8:E8" si="1">B6/B7</f>
        <v>12800</v>
      </c>
      <c r="C8" s="32">
        <f t="shared" si="1"/>
        <v>8600</v>
      </c>
      <c r="D8" s="32">
        <f t="shared" si="1"/>
        <v>2050</v>
      </c>
      <c r="E8" s="32">
        <f t="shared" si="1"/>
        <v>6000</v>
      </c>
      <c r="F8" s="35">
        <f t="shared" ref="F8:F9" si="2">SUM(B8:E8)</f>
        <v>29450</v>
      </c>
      <c r="G8" s="2"/>
      <c r="H8" s="2"/>
      <c r="I8" s="2"/>
      <c r="J8" s="2"/>
      <c r="K8" s="2"/>
      <c r="L8" s="2"/>
      <c r="M8" s="2"/>
      <c r="N8" s="2"/>
      <c r="O8" s="2"/>
      <c r="P8" s="2"/>
      <c r="Q8" s="2"/>
      <c r="R8" s="2"/>
      <c r="S8" s="2"/>
      <c r="T8" s="2"/>
      <c r="U8" s="2"/>
      <c r="V8" s="2"/>
      <c r="W8" s="2"/>
      <c r="X8" s="2"/>
      <c r="Y8" s="2"/>
      <c r="Z8" s="2"/>
    </row>
    <row r="9" ht="15.0" customHeight="1">
      <c r="A9" s="12" t="s">
        <v>75</v>
      </c>
      <c r="B9" s="17">
        <f>'Monthly Data'!K29</f>
        <v>832000</v>
      </c>
      <c r="C9" s="17">
        <f>'Monthly Data'!K17</f>
        <v>559000</v>
      </c>
      <c r="D9" s="17">
        <f>'Monthly Data'!K41</f>
        <v>133250</v>
      </c>
      <c r="E9" s="17">
        <f>'Monthly Data'!K5</f>
        <v>390000</v>
      </c>
      <c r="F9" s="34">
        <f t="shared" si="2"/>
        <v>1914250</v>
      </c>
      <c r="G9" s="2"/>
      <c r="H9" s="2"/>
      <c r="I9" s="2"/>
      <c r="J9" s="2"/>
      <c r="K9" s="2"/>
      <c r="L9" s="2"/>
      <c r="M9" s="2"/>
      <c r="N9" s="2"/>
      <c r="O9" s="2"/>
      <c r="P9" s="2"/>
      <c r="Q9" s="2"/>
      <c r="R9" s="2"/>
      <c r="S9" s="2"/>
      <c r="T9" s="2"/>
      <c r="U9" s="2"/>
      <c r="V9" s="2"/>
      <c r="W9" s="2"/>
      <c r="X9" s="2"/>
      <c r="Y9" s="2"/>
      <c r="Z9" s="2"/>
    </row>
    <row r="10" ht="15.0" customHeight="1">
      <c r="A10" s="12" t="s">
        <v>155</v>
      </c>
      <c r="B10" s="49">
        <f t="shared" ref="B10:F10" si="3">B6/B9</f>
        <v>0.4769230769</v>
      </c>
      <c r="C10" s="49">
        <f t="shared" si="3"/>
        <v>0.2615384615</v>
      </c>
      <c r="D10" s="49">
        <f t="shared" si="3"/>
        <v>0.4</v>
      </c>
      <c r="E10" s="49">
        <f t="shared" si="3"/>
        <v>0.2615384615</v>
      </c>
      <c r="F10" s="60">
        <f t="shared" si="3"/>
        <v>0.3647903879</v>
      </c>
      <c r="G10" s="2"/>
      <c r="H10" s="2"/>
      <c r="I10" s="2"/>
      <c r="J10" s="2"/>
      <c r="K10" s="2"/>
      <c r="L10" s="2"/>
      <c r="M10" s="2"/>
      <c r="N10" s="2"/>
      <c r="O10" s="2"/>
      <c r="P10" s="2"/>
      <c r="Q10" s="2"/>
      <c r="R10" s="2"/>
      <c r="S10" s="2"/>
      <c r="T10" s="2"/>
      <c r="U10" s="2"/>
      <c r="V10" s="2"/>
      <c r="W10" s="2"/>
      <c r="X10" s="2"/>
      <c r="Y10" s="2"/>
      <c r="Z10" s="2"/>
    </row>
    <row r="11">
      <c r="A11" s="1"/>
      <c r="B11" s="1"/>
      <c r="C11" s="1"/>
      <c r="D11" s="1"/>
      <c r="E11" s="1"/>
      <c r="F11" s="1"/>
      <c r="G11" s="2"/>
      <c r="H11" s="2"/>
      <c r="I11" s="2"/>
      <c r="J11" s="2"/>
      <c r="K11" s="2"/>
      <c r="L11" s="2"/>
      <c r="M11" s="2"/>
      <c r="N11" s="2"/>
      <c r="O11" s="2"/>
      <c r="P11" s="2"/>
      <c r="Q11" s="2"/>
      <c r="R11" s="2"/>
      <c r="S11" s="2"/>
      <c r="T11" s="2"/>
      <c r="U11" s="2"/>
      <c r="V11" s="2"/>
      <c r="W11" s="2"/>
      <c r="X11" s="2"/>
      <c r="Y11" s="2"/>
      <c r="Z11" s="2"/>
    </row>
    <row r="12" ht="15.0" customHeight="1">
      <c r="A12" s="11" t="s">
        <v>156</v>
      </c>
      <c r="B12" s="4"/>
      <c r="C12" s="4"/>
      <c r="D12" s="4"/>
      <c r="E12" s="4"/>
      <c r="F12" s="5"/>
      <c r="G12" s="2"/>
      <c r="H12" s="2"/>
      <c r="I12" s="2"/>
      <c r="J12" s="2"/>
      <c r="K12" s="2"/>
      <c r="L12" s="2"/>
      <c r="M12" s="2"/>
      <c r="N12" s="2"/>
      <c r="O12" s="2"/>
      <c r="P12" s="2"/>
      <c r="Q12" s="2"/>
      <c r="R12" s="2"/>
      <c r="S12" s="2"/>
      <c r="T12" s="2"/>
      <c r="U12" s="2"/>
      <c r="V12" s="2"/>
      <c r="W12" s="2"/>
      <c r="X12" s="2"/>
      <c r="Y12" s="2"/>
      <c r="Z12" s="2"/>
    </row>
    <row r="13" ht="15.0" customHeight="1">
      <c r="A13" s="12" t="s">
        <v>157</v>
      </c>
      <c r="B13" s="43">
        <f>Assumptions!B43</f>
        <v>0.15</v>
      </c>
      <c r="C13" s="1"/>
      <c r="D13" s="1"/>
      <c r="E13" s="1"/>
      <c r="F13" s="1"/>
      <c r="G13" s="2"/>
      <c r="H13" s="2"/>
      <c r="I13" s="2"/>
      <c r="J13" s="2"/>
      <c r="K13" s="2"/>
      <c r="L13" s="2"/>
      <c r="M13" s="2"/>
      <c r="N13" s="2"/>
      <c r="O13" s="2"/>
      <c r="P13" s="2"/>
      <c r="Q13" s="2"/>
      <c r="R13" s="2"/>
      <c r="S13" s="2"/>
      <c r="T13" s="2"/>
      <c r="U13" s="2"/>
      <c r="V13" s="2"/>
      <c r="W13" s="2"/>
      <c r="X13" s="2"/>
      <c r="Y13" s="2"/>
      <c r="Z13" s="2"/>
    </row>
    <row r="14" ht="15.0" customHeight="1">
      <c r="A14" s="12" t="s">
        <v>60</v>
      </c>
      <c r="B14" s="43">
        <f>Assumptions!B44</f>
        <v>0.35</v>
      </c>
      <c r="C14" s="1"/>
      <c r="D14" s="1"/>
      <c r="E14" s="1"/>
      <c r="F14" s="1"/>
      <c r="G14" s="2"/>
      <c r="H14" s="2"/>
      <c r="I14" s="2"/>
      <c r="J14" s="2"/>
      <c r="K14" s="2"/>
      <c r="L14" s="2"/>
      <c r="M14" s="2"/>
      <c r="N14" s="2"/>
      <c r="O14" s="2"/>
      <c r="P14" s="2"/>
      <c r="Q14" s="2"/>
      <c r="R14" s="2"/>
      <c r="S14" s="2"/>
      <c r="T14" s="2"/>
      <c r="U14" s="2"/>
      <c r="V14" s="2"/>
      <c r="W14" s="2"/>
      <c r="X14" s="2"/>
      <c r="Y14" s="2"/>
      <c r="Z14" s="2"/>
    </row>
    <row r="15">
      <c r="A15" s="1"/>
      <c r="B15" s="1"/>
      <c r="C15" s="1"/>
      <c r="D15" s="1"/>
      <c r="E15" s="1"/>
      <c r="F15" s="1"/>
      <c r="G15" s="2"/>
      <c r="H15" s="2"/>
      <c r="I15" s="2"/>
      <c r="J15" s="2"/>
      <c r="K15" s="2"/>
      <c r="L15" s="2"/>
      <c r="M15" s="2"/>
      <c r="N15" s="2"/>
      <c r="O15" s="2"/>
      <c r="P15" s="2"/>
      <c r="Q15" s="2"/>
      <c r="R15" s="2"/>
      <c r="S15" s="2"/>
      <c r="T15" s="2"/>
      <c r="U15" s="2"/>
      <c r="V15" s="2"/>
      <c r="W15" s="2"/>
      <c r="X15" s="2"/>
      <c r="Y15" s="2"/>
      <c r="Z15" s="2"/>
    </row>
    <row r="16" ht="15.0" customHeight="1">
      <c r="A16" s="11" t="s">
        <v>158</v>
      </c>
      <c r="B16" s="4"/>
      <c r="C16" s="4"/>
      <c r="D16" s="4"/>
      <c r="E16" s="4"/>
      <c r="F16" s="5"/>
      <c r="G16" s="2"/>
      <c r="H16" s="2"/>
      <c r="I16" s="2"/>
      <c r="J16" s="2"/>
      <c r="K16" s="2"/>
      <c r="L16" s="2"/>
      <c r="M16" s="2"/>
      <c r="N16" s="2"/>
      <c r="O16" s="2"/>
      <c r="P16" s="2"/>
      <c r="Q16" s="2"/>
      <c r="R16" s="2"/>
      <c r="S16" s="2"/>
      <c r="T16" s="2"/>
      <c r="U16" s="2"/>
      <c r="V16" s="2"/>
      <c r="W16" s="2"/>
      <c r="X16" s="2"/>
      <c r="Y16" s="2"/>
      <c r="Z16" s="2"/>
    </row>
    <row r="17" ht="15.0" customHeight="1">
      <c r="A17" s="1"/>
      <c r="B17" s="27" t="s">
        <v>44</v>
      </c>
      <c r="C17" s="27" t="s">
        <v>46</v>
      </c>
      <c r="D17" s="27" t="s">
        <v>48</v>
      </c>
      <c r="E17" s="27" t="s">
        <v>50</v>
      </c>
      <c r="F17" s="27" t="s">
        <v>128</v>
      </c>
      <c r="G17" s="2"/>
      <c r="H17" s="2"/>
      <c r="I17" s="2"/>
      <c r="J17" s="2"/>
      <c r="K17" s="2"/>
      <c r="L17" s="2"/>
      <c r="M17" s="2"/>
      <c r="N17" s="2"/>
      <c r="O17" s="2"/>
      <c r="P17" s="2"/>
      <c r="Q17" s="2"/>
      <c r="R17" s="2"/>
      <c r="S17" s="2"/>
      <c r="T17" s="2"/>
      <c r="U17" s="2"/>
      <c r="V17" s="2"/>
      <c r="W17" s="2"/>
      <c r="X17" s="2"/>
      <c r="Y17" s="2"/>
      <c r="Z17" s="2"/>
    </row>
    <row r="18" ht="15.0" customHeight="1">
      <c r="A18" s="12" t="s">
        <v>159</v>
      </c>
      <c r="B18" s="31">
        <f>B7*(1+B13)</f>
        <v>35.65</v>
      </c>
      <c r="C18" s="31">
        <f>C7*(1+B13)</f>
        <v>19.55</v>
      </c>
      <c r="D18" s="31">
        <f>D7*(1+B13)</f>
        <v>29.9</v>
      </c>
      <c r="E18" s="31">
        <f>E7*(1+B13)</f>
        <v>19.55</v>
      </c>
      <c r="F18" s="1"/>
      <c r="G18" s="2"/>
      <c r="H18" s="2"/>
      <c r="I18" s="2"/>
      <c r="J18" s="2"/>
      <c r="K18" s="2"/>
      <c r="L18" s="2"/>
      <c r="M18" s="2"/>
      <c r="N18" s="2"/>
      <c r="O18" s="2"/>
      <c r="P18" s="2"/>
      <c r="Q18" s="2"/>
      <c r="R18" s="2"/>
      <c r="S18" s="2"/>
      <c r="T18" s="2"/>
      <c r="U18" s="2"/>
      <c r="V18" s="2"/>
      <c r="W18" s="2"/>
      <c r="X18" s="2"/>
      <c r="Y18" s="2"/>
      <c r="Z18" s="2"/>
    </row>
    <row r="19" ht="15.0" customHeight="1">
      <c r="A19" s="12" t="s">
        <v>160</v>
      </c>
      <c r="B19" s="17">
        <f t="shared" ref="B19:E19" si="4">B6</f>
        <v>396800</v>
      </c>
      <c r="C19" s="17">
        <f t="shared" si="4"/>
        <v>146200</v>
      </c>
      <c r="D19" s="17">
        <f t="shared" si="4"/>
        <v>53300</v>
      </c>
      <c r="E19" s="17">
        <f t="shared" si="4"/>
        <v>102000</v>
      </c>
      <c r="F19" s="34">
        <f t="shared" ref="F19:F21" si="6">SUM(B19:E19)</f>
        <v>698300</v>
      </c>
      <c r="G19" s="2"/>
      <c r="H19" s="2"/>
      <c r="I19" s="2"/>
      <c r="J19" s="2"/>
      <c r="K19" s="2"/>
      <c r="L19" s="2"/>
      <c r="M19" s="2"/>
      <c r="N19" s="2"/>
      <c r="O19" s="2"/>
      <c r="P19" s="2"/>
      <c r="Q19" s="2"/>
      <c r="R19" s="2"/>
      <c r="S19" s="2"/>
      <c r="T19" s="2"/>
      <c r="U19" s="2"/>
      <c r="V19" s="2"/>
      <c r="W19" s="2"/>
      <c r="X19" s="2"/>
      <c r="Y19" s="2"/>
      <c r="Z19" s="2"/>
    </row>
    <row r="20" ht="15.0" customHeight="1">
      <c r="A20" s="12" t="s">
        <v>116</v>
      </c>
      <c r="B20" s="32">
        <f t="shared" ref="B20:E20" si="5">B19/B18</f>
        <v>11130.43478</v>
      </c>
      <c r="C20" s="32">
        <f t="shared" si="5"/>
        <v>7478.26087</v>
      </c>
      <c r="D20" s="32">
        <f t="shared" si="5"/>
        <v>1782.608696</v>
      </c>
      <c r="E20" s="32">
        <f t="shared" si="5"/>
        <v>5217.391304</v>
      </c>
      <c r="F20" s="35">
        <f t="shared" si="6"/>
        <v>25608.69565</v>
      </c>
      <c r="G20" s="2"/>
      <c r="H20" s="2"/>
      <c r="I20" s="2"/>
      <c r="J20" s="2"/>
      <c r="K20" s="2"/>
      <c r="L20" s="2"/>
      <c r="M20" s="2"/>
      <c r="N20" s="2"/>
      <c r="O20" s="2"/>
      <c r="P20" s="2"/>
      <c r="Q20" s="2"/>
      <c r="R20" s="2"/>
      <c r="S20" s="2"/>
      <c r="T20" s="2"/>
      <c r="U20" s="2"/>
      <c r="V20" s="2"/>
      <c r="W20" s="2"/>
      <c r="X20" s="2"/>
      <c r="Y20" s="2"/>
      <c r="Z20" s="2"/>
    </row>
    <row r="21" ht="15.0" customHeight="1">
      <c r="A21" s="12" t="s">
        <v>107</v>
      </c>
      <c r="B21" s="17">
        <f>B20*Assumptions!$B$5</f>
        <v>723478.2609</v>
      </c>
      <c r="C21" s="17">
        <f>C20*Assumptions!$B$5</f>
        <v>486086.9565</v>
      </c>
      <c r="D21" s="17">
        <f>D20*Assumptions!$B$5</f>
        <v>115869.5652</v>
      </c>
      <c r="E21" s="17">
        <f>E20*Assumptions!$B$5</f>
        <v>339130.4348</v>
      </c>
      <c r="F21" s="34">
        <f t="shared" si="6"/>
        <v>1664565.217</v>
      </c>
      <c r="G21" s="2"/>
      <c r="H21" s="2"/>
      <c r="I21" s="2"/>
      <c r="J21" s="2"/>
      <c r="K21" s="2"/>
      <c r="L21" s="2"/>
      <c r="M21" s="2"/>
      <c r="N21" s="2"/>
      <c r="O21" s="2"/>
      <c r="P21" s="2"/>
      <c r="Q21" s="2"/>
      <c r="R21" s="2"/>
      <c r="S21" s="2"/>
      <c r="T21" s="2"/>
      <c r="U21" s="2"/>
      <c r="V21" s="2"/>
      <c r="W21" s="2"/>
      <c r="X21" s="2"/>
      <c r="Y21" s="2"/>
      <c r="Z21" s="2"/>
    </row>
    <row r="22" ht="15.75" customHeight="1">
      <c r="A22" s="1"/>
      <c r="B22" s="1"/>
      <c r="C22" s="1"/>
      <c r="D22" s="1"/>
      <c r="E22" s="1"/>
      <c r="F22" s="1"/>
      <c r="G22" s="2"/>
      <c r="H22" s="2"/>
      <c r="I22" s="2"/>
      <c r="J22" s="2"/>
      <c r="K22" s="2"/>
      <c r="L22" s="2"/>
      <c r="M22" s="2"/>
      <c r="N22" s="2"/>
      <c r="O22" s="2"/>
      <c r="P22" s="2"/>
      <c r="Q22" s="2"/>
      <c r="R22" s="2"/>
      <c r="S22" s="2"/>
      <c r="T22" s="2"/>
      <c r="U22" s="2"/>
      <c r="V22" s="2"/>
      <c r="W22" s="2"/>
      <c r="X22" s="2"/>
      <c r="Y22" s="2"/>
      <c r="Z22" s="2"/>
    </row>
    <row r="23" ht="15.0" customHeight="1">
      <c r="A23" s="19" t="s">
        <v>84</v>
      </c>
      <c r="B23" s="1"/>
      <c r="C23" s="1"/>
      <c r="D23" s="1"/>
      <c r="E23" s="1"/>
      <c r="F23" s="60">
        <f>F19/F21</f>
        <v>0.4195089461</v>
      </c>
      <c r="G23" s="2"/>
      <c r="H23" s="2"/>
      <c r="I23" s="2"/>
      <c r="J23" s="2"/>
      <c r="K23" s="2"/>
      <c r="L23" s="2"/>
      <c r="M23" s="2"/>
      <c r="N23" s="2"/>
      <c r="O23" s="2"/>
      <c r="P23" s="2"/>
      <c r="Q23" s="2"/>
      <c r="R23" s="2"/>
      <c r="S23" s="2"/>
      <c r="T23" s="2"/>
      <c r="U23" s="2"/>
      <c r="V23" s="2"/>
      <c r="W23" s="2"/>
      <c r="X23" s="2"/>
      <c r="Y23" s="2"/>
      <c r="Z23" s="2"/>
    </row>
    <row r="24" ht="15.0" customHeight="1">
      <c r="A24" s="19" t="s">
        <v>147</v>
      </c>
      <c r="B24" s="1"/>
      <c r="C24" s="1"/>
      <c r="D24" s="1"/>
      <c r="E24" s="1"/>
      <c r="F24" s="61">
        <f>F21/F9-1</f>
        <v>-0.1304347826</v>
      </c>
      <c r="G24" s="2"/>
      <c r="H24" s="2"/>
      <c r="I24" s="2"/>
      <c r="J24" s="2"/>
      <c r="K24" s="2"/>
      <c r="L24" s="2"/>
      <c r="M24" s="2"/>
      <c r="N24" s="2"/>
      <c r="O24" s="2"/>
      <c r="P24" s="2"/>
      <c r="Q24" s="2"/>
      <c r="R24" s="2"/>
      <c r="S24" s="2"/>
      <c r="T24" s="2"/>
      <c r="U24" s="2"/>
      <c r="V24" s="2"/>
      <c r="W24" s="2"/>
      <c r="X24" s="2"/>
      <c r="Y24" s="2"/>
      <c r="Z24" s="2"/>
    </row>
    <row r="25" ht="15.75" customHeight="1">
      <c r="A25" s="10" t="s">
        <v>161</v>
      </c>
      <c r="G25" s="2"/>
      <c r="H25" s="2"/>
      <c r="I25" s="2"/>
      <c r="J25" s="2"/>
      <c r="K25" s="2"/>
      <c r="L25" s="2"/>
      <c r="M25" s="2"/>
      <c r="N25" s="2"/>
      <c r="O25" s="2"/>
      <c r="P25" s="2"/>
      <c r="Q25" s="2"/>
      <c r="R25" s="2"/>
      <c r="S25" s="2"/>
      <c r="T25" s="2"/>
      <c r="U25" s="2"/>
      <c r="V25" s="2"/>
      <c r="W25" s="2"/>
      <c r="X25" s="2"/>
      <c r="Y25" s="2"/>
      <c r="Z25" s="2"/>
    </row>
    <row r="26" ht="15.75" customHeight="1">
      <c r="A26" s="1"/>
      <c r="B26" s="1"/>
      <c r="C26" s="1"/>
      <c r="D26" s="1"/>
      <c r="E26" s="1"/>
      <c r="F26" s="1"/>
      <c r="G26" s="2"/>
      <c r="H26" s="2"/>
      <c r="I26" s="2"/>
      <c r="J26" s="2"/>
      <c r="K26" s="2"/>
      <c r="L26" s="2"/>
      <c r="M26" s="2"/>
      <c r="N26" s="2"/>
      <c r="O26" s="2"/>
      <c r="P26" s="2"/>
      <c r="Q26" s="2"/>
      <c r="R26" s="2"/>
      <c r="S26" s="2"/>
      <c r="T26" s="2"/>
      <c r="U26" s="2"/>
      <c r="V26" s="2"/>
      <c r="W26" s="2"/>
      <c r="X26" s="2"/>
      <c r="Y26" s="2"/>
      <c r="Z26" s="2"/>
    </row>
    <row r="27" ht="15.0" customHeight="1">
      <c r="A27" s="11" t="s">
        <v>162</v>
      </c>
      <c r="B27" s="4"/>
      <c r="C27" s="4"/>
      <c r="D27" s="4"/>
      <c r="E27" s="4"/>
      <c r="F27" s="5"/>
      <c r="G27" s="2"/>
      <c r="H27" s="2"/>
      <c r="I27" s="2"/>
      <c r="J27" s="2"/>
      <c r="K27" s="2"/>
      <c r="L27" s="2"/>
      <c r="M27" s="2"/>
      <c r="N27" s="2"/>
      <c r="O27" s="2"/>
      <c r="P27" s="2"/>
      <c r="Q27" s="2"/>
      <c r="R27" s="2"/>
      <c r="S27" s="2"/>
      <c r="T27" s="2"/>
      <c r="U27" s="2"/>
      <c r="V27" s="2"/>
      <c r="W27" s="2"/>
      <c r="X27" s="2"/>
      <c r="Y27" s="2"/>
      <c r="Z27" s="2"/>
    </row>
    <row r="28" ht="15.0" customHeight="1">
      <c r="A28" s="12" t="s">
        <v>143</v>
      </c>
      <c r="B28" s="17">
        <f>F6</f>
        <v>698300</v>
      </c>
      <c r="C28" s="1"/>
      <c r="D28" s="1"/>
      <c r="E28" s="1"/>
      <c r="F28" s="1"/>
      <c r="G28" s="2"/>
      <c r="H28" s="2"/>
      <c r="I28" s="2"/>
      <c r="J28" s="2"/>
      <c r="K28" s="2"/>
      <c r="L28" s="2"/>
      <c r="M28" s="2"/>
      <c r="N28" s="2"/>
      <c r="O28" s="2"/>
      <c r="P28" s="2"/>
      <c r="Q28" s="2"/>
      <c r="R28" s="2"/>
      <c r="S28" s="2"/>
      <c r="T28" s="2"/>
      <c r="U28" s="2"/>
      <c r="V28" s="2"/>
      <c r="W28" s="2"/>
      <c r="X28" s="2"/>
      <c r="Y28" s="2"/>
      <c r="Z28" s="2"/>
    </row>
    <row r="29" ht="15.0" customHeight="1">
      <c r="A29" s="1"/>
      <c r="B29" s="27" t="s">
        <v>44</v>
      </c>
      <c r="C29" s="27" t="s">
        <v>46</v>
      </c>
      <c r="D29" s="27" t="s">
        <v>48</v>
      </c>
      <c r="E29" s="27" t="s">
        <v>50</v>
      </c>
      <c r="F29" s="27" t="s">
        <v>128</v>
      </c>
      <c r="G29" s="2"/>
      <c r="H29" s="2"/>
      <c r="I29" s="2"/>
      <c r="J29" s="2"/>
      <c r="K29" s="2"/>
      <c r="L29" s="2"/>
      <c r="M29" s="2"/>
      <c r="N29" s="2"/>
      <c r="O29" s="2"/>
      <c r="P29" s="2"/>
      <c r="Q29" s="2"/>
      <c r="R29" s="2"/>
      <c r="S29" s="2"/>
      <c r="T29" s="2"/>
      <c r="U29" s="2"/>
      <c r="V29" s="2"/>
      <c r="W29" s="2"/>
      <c r="X29" s="2"/>
      <c r="Y29" s="2"/>
      <c r="Z29" s="2"/>
    </row>
    <row r="30" ht="15.0" customHeight="1">
      <c r="A30" s="12" t="s">
        <v>144</v>
      </c>
      <c r="B30" s="20">
        <v>0.2</v>
      </c>
      <c r="C30" s="20">
        <v>0.4</v>
      </c>
      <c r="D30" s="20">
        <v>0.08</v>
      </c>
      <c r="E30" s="20">
        <v>0.32</v>
      </c>
      <c r="F30" s="50">
        <f t="shared" ref="F30:F31" si="8">SUM(B30:E30)</f>
        <v>1</v>
      </c>
      <c r="G30" s="2"/>
      <c r="H30" s="2"/>
      <c r="I30" s="2"/>
      <c r="J30" s="2"/>
      <c r="K30" s="2"/>
      <c r="L30" s="2"/>
      <c r="M30" s="2"/>
      <c r="N30" s="2"/>
      <c r="O30" s="2"/>
      <c r="P30" s="2"/>
      <c r="Q30" s="2"/>
      <c r="R30" s="2"/>
      <c r="S30" s="2"/>
      <c r="T30" s="2"/>
      <c r="U30" s="2"/>
      <c r="V30" s="2"/>
      <c r="W30" s="2"/>
      <c r="X30" s="2"/>
      <c r="Y30" s="2"/>
      <c r="Z30" s="2"/>
    </row>
    <row r="31" ht="15.0" customHeight="1">
      <c r="A31" s="12" t="s">
        <v>72</v>
      </c>
      <c r="B31" s="17">
        <f t="shared" ref="B31:E31" si="7">B30*$B$28</f>
        <v>139660</v>
      </c>
      <c r="C31" s="17">
        <f t="shared" si="7"/>
        <v>279320</v>
      </c>
      <c r="D31" s="17">
        <f t="shared" si="7"/>
        <v>55864</v>
      </c>
      <c r="E31" s="17">
        <f t="shared" si="7"/>
        <v>223456</v>
      </c>
      <c r="F31" s="34">
        <f t="shared" si="8"/>
        <v>698300</v>
      </c>
      <c r="G31" s="2"/>
      <c r="H31" s="2"/>
      <c r="I31" s="2"/>
      <c r="J31" s="2"/>
      <c r="K31" s="2"/>
      <c r="L31" s="2"/>
      <c r="M31" s="2"/>
      <c r="N31" s="2"/>
      <c r="O31" s="2"/>
      <c r="P31" s="2"/>
      <c r="Q31" s="2"/>
      <c r="R31" s="2"/>
      <c r="S31" s="2"/>
      <c r="T31" s="2"/>
      <c r="U31" s="2"/>
      <c r="V31" s="2"/>
      <c r="W31" s="2"/>
      <c r="X31" s="2"/>
      <c r="Y31" s="2"/>
      <c r="Z31" s="2"/>
    </row>
    <row r="32" ht="15.0" customHeight="1">
      <c r="A32" s="12" t="s">
        <v>163</v>
      </c>
      <c r="B32" s="31">
        <f t="shared" ref="B32:E32" si="9">B18</f>
        <v>35.65</v>
      </c>
      <c r="C32" s="31">
        <f t="shared" si="9"/>
        <v>19.55</v>
      </c>
      <c r="D32" s="31">
        <f t="shared" si="9"/>
        <v>29.9</v>
      </c>
      <c r="E32" s="31">
        <f t="shared" si="9"/>
        <v>19.55</v>
      </c>
      <c r="F32" s="1"/>
      <c r="G32" s="2"/>
      <c r="H32" s="2"/>
      <c r="I32" s="2"/>
      <c r="J32" s="2"/>
      <c r="K32" s="2"/>
      <c r="L32" s="2"/>
      <c r="M32" s="2"/>
      <c r="N32" s="2"/>
      <c r="O32" s="2"/>
      <c r="P32" s="2"/>
      <c r="Q32" s="2"/>
      <c r="R32" s="2"/>
      <c r="S32" s="2"/>
      <c r="T32" s="2"/>
      <c r="U32" s="2"/>
      <c r="V32" s="2"/>
      <c r="W32" s="2"/>
      <c r="X32" s="2"/>
      <c r="Y32" s="2"/>
      <c r="Z32" s="2"/>
    </row>
    <row r="33" ht="15.0" customHeight="1">
      <c r="A33" s="12" t="s">
        <v>116</v>
      </c>
      <c r="B33" s="32">
        <f t="shared" ref="B33:E33" si="10">B31/B32</f>
        <v>3917.531557</v>
      </c>
      <c r="C33" s="32">
        <f t="shared" si="10"/>
        <v>14287.46803</v>
      </c>
      <c r="D33" s="32">
        <f t="shared" si="10"/>
        <v>1868.361204</v>
      </c>
      <c r="E33" s="32">
        <f t="shared" si="10"/>
        <v>11429.97442</v>
      </c>
      <c r="F33" s="35">
        <f t="shared" ref="F33:F34" si="11">SUM(B33:E33)</f>
        <v>31503.33522</v>
      </c>
      <c r="G33" s="2"/>
      <c r="H33" s="2"/>
      <c r="I33" s="2"/>
      <c r="J33" s="2"/>
      <c r="K33" s="2"/>
      <c r="L33" s="2"/>
      <c r="M33" s="2"/>
      <c r="N33" s="2"/>
      <c r="O33" s="2"/>
      <c r="P33" s="2"/>
      <c r="Q33" s="2"/>
      <c r="R33" s="2"/>
      <c r="S33" s="2"/>
      <c r="T33" s="2"/>
      <c r="U33" s="2"/>
      <c r="V33" s="2"/>
      <c r="W33" s="2"/>
      <c r="X33" s="2"/>
      <c r="Y33" s="2"/>
      <c r="Z33" s="2"/>
    </row>
    <row r="34" ht="15.0" customHeight="1">
      <c r="A34" s="12" t="s">
        <v>107</v>
      </c>
      <c r="B34" s="17">
        <f>B33*Assumptions!$B$5</f>
        <v>254639.5512</v>
      </c>
      <c r="C34" s="17">
        <f>C33*Assumptions!$B$5</f>
        <v>928685.422</v>
      </c>
      <c r="D34" s="17">
        <f>D33*Assumptions!$B$5</f>
        <v>121443.4783</v>
      </c>
      <c r="E34" s="17">
        <f>E33*Assumptions!$B$5</f>
        <v>742948.3376</v>
      </c>
      <c r="F34" s="34">
        <f t="shared" si="11"/>
        <v>2047716.789</v>
      </c>
      <c r="G34" s="2"/>
      <c r="H34" s="2"/>
      <c r="I34" s="2"/>
      <c r="J34" s="2"/>
      <c r="K34" s="2"/>
      <c r="L34" s="2"/>
      <c r="M34" s="2"/>
      <c r="N34" s="2"/>
      <c r="O34" s="2"/>
      <c r="P34" s="2"/>
      <c r="Q34" s="2"/>
      <c r="R34" s="2"/>
      <c r="S34" s="2"/>
      <c r="T34" s="2"/>
      <c r="U34" s="2"/>
      <c r="V34" s="2"/>
      <c r="W34" s="2"/>
      <c r="X34" s="2"/>
      <c r="Y34" s="2"/>
      <c r="Z34" s="2"/>
    </row>
    <row r="35" ht="15.75" customHeight="1">
      <c r="A35" s="1"/>
      <c r="B35" s="1"/>
      <c r="C35" s="1"/>
      <c r="D35" s="1"/>
      <c r="E35" s="1"/>
      <c r="F35" s="1"/>
      <c r="G35" s="2"/>
      <c r="H35" s="2"/>
      <c r="I35" s="2"/>
      <c r="J35" s="2"/>
      <c r="K35" s="2"/>
      <c r="L35" s="2"/>
      <c r="M35" s="2"/>
      <c r="N35" s="2"/>
      <c r="O35" s="2"/>
      <c r="P35" s="2"/>
      <c r="Q35" s="2"/>
      <c r="R35" s="2"/>
      <c r="S35" s="2"/>
      <c r="T35" s="2"/>
      <c r="U35" s="2"/>
      <c r="V35" s="2"/>
      <c r="W35" s="2"/>
      <c r="X35" s="2"/>
      <c r="Y35" s="2"/>
      <c r="Z35" s="2"/>
    </row>
    <row r="36" ht="15.0" customHeight="1">
      <c r="A36" s="10" t="s">
        <v>164</v>
      </c>
      <c r="G36" s="2"/>
      <c r="H36" s="2"/>
      <c r="I36" s="2"/>
      <c r="J36" s="2"/>
      <c r="K36" s="2"/>
      <c r="L36" s="2"/>
      <c r="M36" s="2"/>
      <c r="N36" s="2"/>
      <c r="O36" s="2"/>
      <c r="P36" s="2"/>
      <c r="Q36" s="2"/>
      <c r="R36" s="2"/>
      <c r="S36" s="2"/>
      <c r="T36" s="2"/>
      <c r="U36" s="2"/>
      <c r="V36" s="2"/>
      <c r="W36" s="2"/>
      <c r="X36" s="2"/>
      <c r="Y36" s="2"/>
      <c r="Z36" s="2"/>
    </row>
    <row r="37" ht="15.0" customHeight="1">
      <c r="A37" s="19" t="s">
        <v>84</v>
      </c>
      <c r="B37" s="1"/>
      <c r="C37" s="1"/>
      <c r="D37" s="1"/>
      <c r="E37" s="1"/>
      <c r="F37" s="60">
        <f>F31/F34</f>
        <v>0.3410139545</v>
      </c>
      <c r="G37" s="2"/>
      <c r="H37" s="2"/>
      <c r="I37" s="2"/>
      <c r="J37" s="2"/>
      <c r="K37" s="2"/>
      <c r="L37" s="2"/>
      <c r="M37" s="2"/>
      <c r="N37" s="2"/>
      <c r="O37" s="2"/>
      <c r="P37" s="2"/>
      <c r="Q37" s="2"/>
      <c r="R37" s="2"/>
      <c r="S37" s="2"/>
      <c r="T37" s="2"/>
      <c r="U37" s="2"/>
      <c r="V37" s="2"/>
      <c r="W37" s="2"/>
      <c r="X37" s="2"/>
      <c r="Y37" s="2"/>
      <c r="Z37" s="2"/>
    </row>
    <row r="38" ht="15.0" customHeight="1">
      <c r="A38" s="19" t="s">
        <v>147</v>
      </c>
      <c r="B38" s="1"/>
      <c r="C38" s="1"/>
      <c r="D38" s="1"/>
      <c r="E38" s="1"/>
      <c r="F38" s="61">
        <f>F34/F9-1</f>
        <v>0.06972275776</v>
      </c>
      <c r="G38" s="2"/>
      <c r="H38" s="2"/>
      <c r="I38" s="2"/>
      <c r="J38" s="2"/>
      <c r="K38" s="2"/>
      <c r="L38" s="2"/>
      <c r="M38" s="2"/>
      <c r="N38" s="2"/>
      <c r="O38" s="2"/>
      <c r="P38" s="2"/>
      <c r="Q38" s="2"/>
      <c r="R38" s="2"/>
      <c r="S38" s="2"/>
      <c r="T38" s="2"/>
      <c r="U38" s="2"/>
      <c r="V38" s="2"/>
      <c r="W38" s="2"/>
      <c r="X38" s="2"/>
      <c r="Y38" s="2"/>
      <c r="Z38" s="2"/>
    </row>
    <row r="39" ht="15.0" customHeight="1">
      <c r="A39" s="19" t="s">
        <v>90</v>
      </c>
      <c r="B39" s="1"/>
      <c r="C39" s="1"/>
      <c r="D39" s="1"/>
      <c r="E39" s="1"/>
      <c r="F39" s="64" t="str">
        <f>IF(AND(F37&lt;=B14,F38&gt;=0),"PASS — ceiling held, revenue protected","FAIL — adjust the mix")</f>
        <v>PASS — ceiling held, revenue protected</v>
      </c>
      <c r="G39" s="2"/>
      <c r="H39" s="2"/>
      <c r="I39" s="2"/>
      <c r="J39" s="2"/>
      <c r="K39" s="2"/>
      <c r="L39" s="2"/>
      <c r="M39" s="2"/>
      <c r="N39" s="2"/>
      <c r="O39" s="2"/>
      <c r="P39" s="2"/>
      <c r="Q39" s="2"/>
      <c r="R39" s="2"/>
      <c r="S39" s="2"/>
      <c r="T39" s="2"/>
      <c r="U39" s="2"/>
      <c r="V39" s="2"/>
      <c r="W39" s="2"/>
      <c r="X39" s="2"/>
      <c r="Y39" s="2"/>
      <c r="Z39" s="2"/>
    </row>
    <row r="40" ht="15.75" customHeight="1">
      <c r="A40" s="1"/>
      <c r="B40" s="1"/>
      <c r="C40" s="1"/>
      <c r="D40" s="1"/>
      <c r="E40" s="1"/>
      <c r="F40" s="1"/>
      <c r="G40" s="2"/>
      <c r="H40" s="2"/>
      <c r="I40" s="2"/>
      <c r="J40" s="2"/>
      <c r="K40" s="2"/>
      <c r="L40" s="2"/>
      <c r="M40" s="2"/>
      <c r="N40" s="2"/>
      <c r="O40" s="2"/>
      <c r="P40" s="2"/>
      <c r="Q40" s="2"/>
      <c r="R40" s="2"/>
      <c r="S40" s="2"/>
      <c r="T40" s="2"/>
      <c r="U40" s="2"/>
      <c r="V40" s="2"/>
      <c r="W40" s="2"/>
      <c r="X40" s="2"/>
      <c r="Y40" s="2"/>
      <c r="Z40" s="2"/>
    </row>
    <row r="41" ht="15.0" customHeight="1">
      <c r="A41" s="11" t="s">
        <v>165</v>
      </c>
      <c r="B41" s="4"/>
      <c r="C41" s="4"/>
      <c r="D41" s="4"/>
      <c r="E41" s="4"/>
      <c r="F41" s="5"/>
      <c r="G41" s="2"/>
      <c r="H41" s="2"/>
      <c r="I41" s="2"/>
      <c r="J41" s="2"/>
      <c r="K41" s="2"/>
      <c r="L41" s="2"/>
      <c r="M41" s="2"/>
      <c r="N41" s="2"/>
      <c r="O41" s="2"/>
      <c r="P41" s="2"/>
      <c r="Q41" s="2"/>
      <c r="R41" s="2"/>
      <c r="S41" s="2"/>
      <c r="T41" s="2"/>
      <c r="U41" s="2"/>
      <c r="V41" s="2"/>
      <c r="W41" s="2"/>
      <c r="X41" s="2"/>
      <c r="Y41" s="2"/>
      <c r="Z41" s="2"/>
    </row>
    <row r="42" ht="15.75" customHeight="1">
      <c r="A42" s="62" t="s">
        <v>166</v>
      </c>
      <c r="G42" s="2"/>
      <c r="H42" s="2"/>
      <c r="I42" s="2"/>
      <c r="J42" s="2"/>
      <c r="K42" s="2"/>
      <c r="L42" s="2"/>
      <c r="M42" s="2"/>
      <c r="N42" s="2"/>
      <c r="O42" s="2"/>
      <c r="P42" s="2"/>
      <c r="Q42" s="2"/>
      <c r="R42" s="2"/>
      <c r="S42" s="2"/>
      <c r="T42" s="2"/>
      <c r="U42" s="2"/>
      <c r="V42" s="2"/>
      <c r="W42" s="2"/>
      <c r="X42" s="2"/>
      <c r="Y42" s="2"/>
      <c r="Z42" s="2"/>
    </row>
    <row r="43" ht="15.75" customHeight="1">
      <c r="A43" s="62"/>
      <c r="B43" s="62"/>
      <c r="C43" s="62"/>
      <c r="D43" s="62"/>
      <c r="E43" s="62"/>
      <c r="F43" s="62"/>
      <c r="G43" s="2"/>
      <c r="H43" s="2"/>
      <c r="I43" s="2"/>
      <c r="J43" s="2"/>
      <c r="K43" s="2"/>
      <c r="L43" s="2"/>
      <c r="M43" s="2"/>
      <c r="N43" s="2"/>
      <c r="O43" s="2"/>
      <c r="P43" s="2"/>
      <c r="Q43" s="2"/>
      <c r="R43" s="2"/>
      <c r="S43" s="2"/>
      <c r="T43" s="2"/>
      <c r="U43" s="2"/>
      <c r="V43" s="2"/>
      <c r="W43" s="2"/>
      <c r="X43" s="2"/>
      <c r="Y43" s="2"/>
      <c r="Z43" s="2"/>
    </row>
    <row r="44" ht="15.75" customHeight="1">
      <c r="A44" s="62"/>
      <c r="B44" s="62"/>
      <c r="C44" s="62"/>
      <c r="D44" s="62"/>
      <c r="E44" s="62"/>
      <c r="F44" s="62"/>
      <c r="G44" s="2"/>
      <c r="H44" s="2"/>
      <c r="I44" s="2"/>
      <c r="J44" s="2"/>
      <c r="K44" s="2"/>
      <c r="L44" s="2"/>
      <c r="M44" s="2"/>
      <c r="N44" s="2"/>
      <c r="O44" s="2"/>
      <c r="P44" s="2"/>
      <c r="Q44" s="2"/>
      <c r="R44" s="2"/>
      <c r="S44" s="2"/>
      <c r="T44" s="2"/>
      <c r="U44" s="2"/>
      <c r="V44" s="2"/>
      <c r="W44" s="2"/>
      <c r="X44" s="2"/>
      <c r="Y44" s="2"/>
      <c r="Z44" s="2"/>
    </row>
    <row r="45" ht="15.75" customHeight="1">
      <c r="A45" s="62"/>
      <c r="B45" s="62"/>
      <c r="C45" s="62"/>
      <c r="D45" s="62"/>
      <c r="E45" s="62"/>
      <c r="F45" s="6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5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52"/>
      <c r="G47" s="2"/>
      <c r="H47" s="2"/>
      <c r="I47" s="2"/>
      <c r="J47" s="2"/>
      <c r="K47" s="2"/>
      <c r="L47" s="2"/>
      <c r="M47" s="2"/>
      <c r="N47" s="2"/>
      <c r="O47" s="2"/>
      <c r="P47" s="2"/>
      <c r="Q47" s="2"/>
      <c r="R47" s="2"/>
      <c r="S47" s="2"/>
      <c r="T47" s="2"/>
      <c r="U47" s="2"/>
      <c r="V47" s="2"/>
      <c r="W47" s="2"/>
      <c r="X47" s="2"/>
      <c r="Y47" s="2"/>
      <c r="Z47" s="2"/>
    </row>
    <row r="48" ht="15.75" customHeight="1">
      <c r="A48" s="52"/>
      <c r="B48" s="52"/>
      <c r="C48" s="52"/>
      <c r="D48" s="52"/>
      <c r="E48" s="52"/>
      <c r="F48" s="52"/>
      <c r="G48" s="2"/>
      <c r="H48" s="2"/>
      <c r="I48" s="2"/>
      <c r="J48" s="2"/>
      <c r="K48" s="2"/>
      <c r="L48" s="2"/>
      <c r="M48" s="2"/>
      <c r="N48" s="2"/>
      <c r="O48" s="2"/>
      <c r="P48" s="2"/>
      <c r="Q48" s="2"/>
      <c r="R48" s="2"/>
      <c r="S48" s="2"/>
      <c r="T48" s="2"/>
      <c r="U48" s="2"/>
      <c r="V48" s="2"/>
      <c r="W48" s="2"/>
      <c r="X48" s="2"/>
      <c r="Y48" s="2"/>
      <c r="Z48" s="2"/>
    </row>
    <row r="49" ht="15.75" customHeight="1">
      <c r="A49" s="1"/>
      <c r="B49" s="1"/>
      <c r="C49" s="1"/>
      <c r="D49" s="1"/>
      <c r="E49" s="1"/>
      <c r="F49" s="1"/>
      <c r="G49" s="2"/>
      <c r="H49" s="2"/>
      <c r="I49" s="2"/>
      <c r="J49" s="2"/>
      <c r="K49" s="2"/>
      <c r="L49" s="2"/>
      <c r="M49" s="2"/>
      <c r="N49" s="2"/>
      <c r="O49" s="2"/>
      <c r="P49" s="2"/>
      <c r="Q49" s="2"/>
      <c r="R49" s="2"/>
      <c r="S49" s="2"/>
      <c r="T49" s="2"/>
      <c r="U49" s="2"/>
      <c r="V49" s="2"/>
      <c r="W49" s="2"/>
      <c r="X49" s="2"/>
      <c r="Y49" s="2"/>
      <c r="Z49" s="2"/>
    </row>
    <row r="50" ht="15.75" customHeight="1">
      <c r="A50" s="1"/>
      <c r="B50" s="1"/>
      <c r="C50" s="1"/>
      <c r="D50" s="1"/>
      <c r="E50" s="1"/>
      <c r="F50" s="1"/>
      <c r="G50" s="2"/>
      <c r="H50" s="2"/>
      <c r="I50" s="2"/>
      <c r="J50" s="2"/>
      <c r="K50" s="2"/>
      <c r="L50" s="2"/>
      <c r="M50" s="2"/>
      <c r="N50" s="2"/>
      <c r="O50" s="2"/>
      <c r="P50" s="2"/>
      <c r="Q50" s="2"/>
      <c r="R50" s="2"/>
      <c r="S50" s="2"/>
      <c r="T50" s="2"/>
      <c r="U50" s="2"/>
      <c r="V50" s="2"/>
      <c r="W50" s="2"/>
      <c r="X50" s="2"/>
      <c r="Y50" s="2"/>
      <c r="Z50" s="2"/>
    </row>
    <row r="51" ht="15.75" customHeight="1">
      <c r="A51" s="1"/>
      <c r="B51" s="1"/>
      <c r="C51" s="1"/>
      <c r="D51" s="1"/>
      <c r="E51" s="1"/>
      <c r="F51" s="1"/>
      <c r="G51" s="2"/>
      <c r="H51" s="2"/>
      <c r="I51" s="2"/>
      <c r="J51" s="2"/>
      <c r="K51" s="2"/>
      <c r="L51" s="2"/>
      <c r="M51" s="2"/>
      <c r="N51" s="2"/>
      <c r="O51" s="2"/>
      <c r="P51" s="2"/>
      <c r="Q51" s="2"/>
      <c r="R51" s="2"/>
      <c r="S51" s="2"/>
      <c r="T51" s="2"/>
      <c r="U51" s="2"/>
      <c r="V51" s="2"/>
      <c r="W51" s="2"/>
      <c r="X51" s="2"/>
      <c r="Y51" s="2"/>
      <c r="Z51" s="2"/>
    </row>
    <row r="52" ht="15.75" customHeight="1">
      <c r="A52" s="1"/>
      <c r="B52" s="1"/>
      <c r="C52" s="1"/>
      <c r="D52" s="1"/>
      <c r="E52" s="1"/>
      <c r="F52" s="1"/>
      <c r="G52" s="2"/>
      <c r="H52" s="2"/>
      <c r="I52" s="2"/>
      <c r="J52" s="2"/>
      <c r="K52" s="2"/>
      <c r="L52" s="2"/>
      <c r="M52" s="2"/>
      <c r="N52" s="2"/>
      <c r="O52" s="2"/>
      <c r="P52" s="2"/>
      <c r="Q52" s="2"/>
      <c r="R52" s="2"/>
      <c r="S52" s="2"/>
      <c r="T52" s="2"/>
      <c r="U52" s="2"/>
      <c r="V52" s="2"/>
      <c r="W52" s="2"/>
      <c r="X52" s="2"/>
      <c r="Y52" s="2"/>
      <c r="Z52" s="2"/>
    </row>
    <row r="53" ht="15.75" customHeight="1">
      <c r="A53" s="1"/>
      <c r="B53" s="1"/>
      <c r="C53" s="1"/>
      <c r="D53" s="1"/>
      <c r="E53" s="1"/>
      <c r="F53" s="1"/>
      <c r="G53" s="2"/>
      <c r="H53" s="2"/>
      <c r="I53" s="2"/>
      <c r="J53" s="2"/>
      <c r="K53" s="2"/>
      <c r="L53" s="2"/>
      <c r="M53" s="2"/>
      <c r="N53" s="2"/>
      <c r="O53" s="2"/>
      <c r="P53" s="2"/>
      <c r="Q53" s="2"/>
      <c r="R53" s="2"/>
      <c r="S53" s="2"/>
      <c r="T53" s="2"/>
      <c r="U53" s="2"/>
      <c r="V53" s="2"/>
      <c r="W53" s="2"/>
      <c r="X53" s="2"/>
      <c r="Y53" s="2"/>
      <c r="Z53" s="2"/>
    </row>
    <row r="54" ht="15.75" customHeight="1">
      <c r="A54" s="1"/>
      <c r="B54" s="1"/>
      <c r="C54" s="1"/>
      <c r="D54" s="1"/>
      <c r="E54" s="1"/>
      <c r="F54" s="1"/>
      <c r="G54" s="2"/>
      <c r="H54" s="2"/>
      <c r="I54" s="2"/>
      <c r="J54" s="2"/>
      <c r="K54" s="2"/>
      <c r="L54" s="2"/>
      <c r="M54" s="2"/>
      <c r="N54" s="2"/>
      <c r="O54" s="2"/>
      <c r="P54" s="2"/>
      <c r="Q54" s="2"/>
      <c r="R54" s="2"/>
      <c r="S54" s="2"/>
      <c r="T54" s="2"/>
      <c r="U54" s="2"/>
      <c r="V54" s="2"/>
      <c r="W54" s="2"/>
      <c r="X54" s="2"/>
      <c r="Y54" s="2"/>
      <c r="Z54" s="2"/>
    </row>
    <row r="55" ht="15.75" customHeight="1">
      <c r="A55" s="1"/>
      <c r="B55" s="1"/>
      <c r="C55" s="1"/>
      <c r="D55" s="1"/>
      <c r="E55" s="1"/>
      <c r="F55" s="1"/>
      <c r="G55" s="2"/>
      <c r="H55" s="2"/>
      <c r="I55" s="2"/>
      <c r="J55" s="2"/>
      <c r="K55" s="2"/>
      <c r="L55" s="2"/>
      <c r="M55" s="2"/>
      <c r="N55" s="2"/>
      <c r="O55" s="2"/>
      <c r="P55" s="2"/>
      <c r="Q55" s="2"/>
      <c r="R55" s="2"/>
      <c r="S55" s="2"/>
      <c r="T55" s="2"/>
      <c r="U55" s="2"/>
      <c r="V55" s="2"/>
      <c r="W55" s="2"/>
      <c r="X55" s="2"/>
      <c r="Y55" s="2"/>
      <c r="Z55" s="2"/>
    </row>
    <row r="56" ht="15.75" customHeight="1">
      <c r="A56" s="1"/>
      <c r="B56" s="1"/>
      <c r="C56" s="1"/>
      <c r="D56" s="1"/>
      <c r="E56" s="1"/>
      <c r="F56" s="1"/>
      <c r="G56" s="2"/>
      <c r="H56" s="2"/>
      <c r="I56" s="2"/>
      <c r="J56" s="2"/>
      <c r="K56" s="2"/>
      <c r="L56" s="2"/>
      <c r="M56" s="2"/>
      <c r="N56" s="2"/>
      <c r="O56" s="2"/>
      <c r="P56" s="2"/>
      <c r="Q56" s="2"/>
      <c r="R56" s="2"/>
      <c r="S56" s="2"/>
      <c r="T56" s="2"/>
      <c r="U56" s="2"/>
      <c r="V56" s="2"/>
      <c r="W56" s="2"/>
      <c r="X56" s="2"/>
      <c r="Y56" s="2"/>
      <c r="Z56" s="2"/>
    </row>
    <row r="57" ht="15.75" customHeight="1">
      <c r="A57" s="1"/>
      <c r="B57" s="1"/>
      <c r="C57" s="1"/>
      <c r="D57" s="1"/>
      <c r="E57" s="1"/>
      <c r="F57" s="1"/>
      <c r="G57" s="2"/>
      <c r="H57" s="2"/>
      <c r="I57" s="2"/>
      <c r="J57" s="2"/>
      <c r="K57" s="2"/>
      <c r="L57" s="2"/>
      <c r="M57" s="2"/>
      <c r="N57" s="2"/>
      <c r="O57" s="2"/>
      <c r="P57" s="2"/>
      <c r="Q57" s="2"/>
      <c r="R57" s="2"/>
      <c r="S57" s="2"/>
      <c r="T57" s="2"/>
      <c r="U57" s="2"/>
      <c r="V57" s="2"/>
      <c r="W57" s="2"/>
      <c r="X57" s="2"/>
      <c r="Y57" s="2"/>
      <c r="Z57" s="2"/>
    </row>
    <row r="58" ht="15.75" customHeight="1">
      <c r="A58" s="1"/>
      <c r="B58" s="1"/>
      <c r="C58" s="1"/>
      <c r="D58" s="1"/>
      <c r="E58" s="1"/>
      <c r="F58" s="1"/>
      <c r="G58" s="2"/>
      <c r="H58" s="2"/>
      <c r="I58" s="2"/>
      <c r="J58" s="2"/>
      <c r="K58" s="2"/>
      <c r="L58" s="2"/>
      <c r="M58" s="2"/>
      <c r="N58" s="2"/>
      <c r="O58" s="2"/>
      <c r="P58" s="2"/>
      <c r="Q58" s="2"/>
      <c r="R58" s="2"/>
      <c r="S58" s="2"/>
      <c r="T58" s="2"/>
      <c r="U58" s="2"/>
      <c r="V58" s="2"/>
      <c r="W58" s="2"/>
      <c r="X58" s="2"/>
      <c r="Y58" s="2"/>
      <c r="Z58" s="2"/>
    </row>
    <row r="59" ht="15.75" customHeight="1">
      <c r="A59" s="1"/>
      <c r="B59" s="1"/>
      <c r="C59" s="1"/>
      <c r="D59" s="1"/>
      <c r="E59" s="1"/>
      <c r="F59" s="1"/>
      <c r="G59" s="2"/>
      <c r="H59" s="2"/>
      <c r="I59" s="2"/>
      <c r="J59" s="2"/>
      <c r="K59" s="2"/>
      <c r="L59" s="2"/>
      <c r="M59" s="2"/>
      <c r="N59" s="2"/>
      <c r="O59" s="2"/>
      <c r="P59" s="2"/>
      <c r="Q59" s="2"/>
      <c r="R59" s="2"/>
      <c r="S59" s="2"/>
      <c r="T59" s="2"/>
      <c r="U59" s="2"/>
      <c r="V59" s="2"/>
      <c r="W59" s="2"/>
      <c r="X59" s="2"/>
      <c r="Y59" s="2"/>
      <c r="Z59" s="2"/>
    </row>
    <row r="60" ht="15.75" customHeight="1">
      <c r="A60" s="1"/>
      <c r="B60" s="1"/>
      <c r="C60" s="1"/>
      <c r="D60" s="1"/>
      <c r="E60" s="1"/>
      <c r="F60" s="1"/>
      <c r="G60" s="2"/>
      <c r="H60" s="2"/>
      <c r="I60" s="2"/>
      <c r="J60" s="2"/>
      <c r="K60" s="2"/>
      <c r="L60" s="2"/>
      <c r="M60" s="2"/>
      <c r="N60" s="2"/>
      <c r="O60" s="2"/>
      <c r="P60" s="2"/>
      <c r="Q60" s="2"/>
      <c r="R60" s="2"/>
      <c r="S60" s="2"/>
      <c r="T60" s="2"/>
      <c r="U60" s="2"/>
      <c r="V60" s="2"/>
      <c r="W60" s="2"/>
      <c r="X60" s="2"/>
      <c r="Y60" s="2"/>
      <c r="Z60" s="2"/>
    </row>
    <row r="61" ht="15.75" customHeight="1">
      <c r="A61" s="1"/>
      <c r="B61" s="1"/>
      <c r="C61" s="1"/>
      <c r="D61" s="1"/>
      <c r="E61" s="1"/>
      <c r="F61" s="1"/>
      <c r="G61" s="2"/>
      <c r="H61" s="2"/>
      <c r="I61" s="2"/>
      <c r="J61" s="2"/>
      <c r="K61" s="2"/>
      <c r="L61" s="2"/>
      <c r="M61" s="2"/>
      <c r="N61" s="2"/>
      <c r="O61" s="2"/>
      <c r="P61" s="2"/>
      <c r="Q61" s="2"/>
      <c r="R61" s="2"/>
      <c r="S61" s="2"/>
      <c r="T61" s="2"/>
      <c r="U61" s="2"/>
      <c r="V61" s="2"/>
      <c r="W61" s="2"/>
      <c r="X61" s="2"/>
      <c r="Y61" s="2"/>
      <c r="Z61" s="2"/>
    </row>
    <row r="62" ht="15.75" customHeight="1">
      <c r="A62" s="1"/>
      <c r="B62" s="1"/>
      <c r="C62" s="1"/>
      <c r="D62" s="1"/>
      <c r="E62" s="1"/>
      <c r="F62" s="1"/>
      <c r="G62" s="2"/>
      <c r="H62" s="2"/>
      <c r="I62" s="2"/>
      <c r="J62" s="2"/>
      <c r="K62" s="2"/>
      <c r="L62" s="2"/>
      <c r="M62" s="2"/>
      <c r="N62" s="2"/>
      <c r="O62" s="2"/>
      <c r="P62" s="2"/>
      <c r="Q62" s="2"/>
      <c r="R62" s="2"/>
      <c r="S62" s="2"/>
      <c r="T62" s="2"/>
      <c r="U62" s="2"/>
      <c r="V62" s="2"/>
      <c r="W62" s="2"/>
      <c r="X62" s="2"/>
      <c r="Y62" s="2"/>
      <c r="Z62" s="2"/>
    </row>
    <row r="63" ht="15.75" customHeight="1">
      <c r="A63" s="1"/>
      <c r="B63" s="1"/>
      <c r="C63" s="1"/>
      <c r="D63" s="1"/>
      <c r="E63" s="1"/>
      <c r="F63" s="1"/>
      <c r="G63" s="2"/>
      <c r="H63" s="2"/>
      <c r="I63" s="2"/>
      <c r="J63" s="2"/>
      <c r="K63" s="2"/>
      <c r="L63" s="2"/>
      <c r="M63" s="2"/>
      <c r="N63" s="2"/>
      <c r="O63" s="2"/>
      <c r="P63" s="2"/>
      <c r="Q63" s="2"/>
      <c r="R63" s="2"/>
      <c r="S63" s="2"/>
      <c r="T63" s="2"/>
      <c r="U63" s="2"/>
      <c r="V63" s="2"/>
      <c r="W63" s="2"/>
      <c r="X63" s="2"/>
      <c r="Y63" s="2"/>
      <c r="Z63" s="2"/>
    </row>
    <row r="64" ht="15.75" customHeight="1">
      <c r="A64" s="1"/>
      <c r="B64" s="1"/>
      <c r="C64" s="1"/>
      <c r="D64" s="1"/>
      <c r="E64" s="1"/>
      <c r="F64" s="1"/>
      <c r="G64" s="2"/>
      <c r="H64" s="2"/>
      <c r="I64" s="2"/>
      <c r="J64" s="2"/>
      <c r="K64" s="2"/>
      <c r="L64" s="2"/>
      <c r="M64" s="2"/>
      <c r="N64" s="2"/>
      <c r="O64" s="2"/>
      <c r="P64" s="2"/>
      <c r="Q64" s="2"/>
      <c r="R64" s="2"/>
      <c r="S64" s="2"/>
      <c r="T64" s="2"/>
      <c r="U64" s="2"/>
      <c r="V64" s="2"/>
      <c r="W64" s="2"/>
      <c r="X64" s="2"/>
      <c r="Y64" s="2"/>
      <c r="Z64" s="2"/>
    </row>
    <row r="65" ht="15.75" customHeight="1">
      <c r="A65" s="1"/>
      <c r="B65" s="1"/>
      <c r="C65" s="1"/>
      <c r="D65" s="1"/>
      <c r="E65" s="1"/>
      <c r="F65" s="1"/>
      <c r="G65" s="2"/>
      <c r="H65" s="2"/>
      <c r="I65" s="2"/>
      <c r="J65" s="2"/>
      <c r="K65" s="2"/>
      <c r="L65" s="2"/>
      <c r="M65" s="2"/>
      <c r="N65" s="2"/>
      <c r="O65" s="2"/>
      <c r="P65" s="2"/>
      <c r="Q65" s="2"/>
      <c r="R65" s="2"/>
      <c r="S65" s="2"/>
      <c r="T65" s="2"/>
      <c r="U65" s="2"/>
      <c r="V65" s="2"/>
      <c r="W65" s="2"/>
      <c r="X65" s="2"/>
      <c r="Y65" s="2"/>
      <c r="Z65" s="2"/>
    </row>
    <row r="66" ht="15.75" customHeight="1">
      <c r="A66" s="1"/>
      <c r="B66" s="1"/>
      <c r="C66" s="1"/>
      <c r="D66" s="1"/>
      <c r="E66" s="1"/>
      <c r="F66" s="1"/>
      <c r="G66" s="2"/>
      <c r="H66" s="2"/>
      <c r="I66" s="2"/>
      <c r="J66" s="2"/>
      <c r="K66" s="2"/>
      <c r="L66" s="2"/>
      <c r="M66" s="2"/>
      <c r="N66" s="2"/>
      <c r="O66" s="2"/>
      <c r="P66" s="2"/>
      <c r="Q66" s="2"/>
      <c r="R66" s="2"/>
      <c r="S66" s="2"/>
      <c r="T66" s="2"/>
      <c r="U66" s="2"/>
      <c r="V66" s="2"/>
      <c r="W66" s="2"/>
      <c r="X66" s="2"/>
      <c r="Y66" s="2"/>
      <c r="Z66" s="2"/>
    </row>
    <row r="67" ht="15.75" customHeight="1">
      <c r="A67" s="1"/>
      <c r="B67" s="1"/>
      <c r="C67" s="1"/>
      <c r="D67" s="1"/>
      <c r="E67" s="1"/>
      <c r="F67" s="1"/>
      <c r="G67" s="2"/>
      <c r="H67" s="2"/>
      <c r="I67" s="2"/>
      <c r="J67" s="2"/>
      <c r="K67" s="2"/>
      <c r="L67" s="2"/>
      <c r="M67" s="2"/>
      <c r="N67" s="2"/>
      <c r="O67" s="2"/>
      <c r="P67" s="2"/>
      <c r="Q67" s="2"/>
      <c r="R67" s="2"/>
      <c r="S67" s="2"/>
      <c r="T67" s="2"/>
      <c r="U67" s="2"/>
      <c r="V67" s="2"/>
      <c r="W67" s="2"/>
      <c r="X67" s="2"/>
      <c r="Y67" s="2"/>
      <c r="Z67" s="2"/>
    </row>
    <row r="68" ht="15.75" customHeight="1">
      <c r="A68" s="1"/>
      <c r="B68" s="1"/>
      <c r="C68" s="1"/>
      <c r="D68" s="1"/>
      <c r="E68" s="1"/>
      <c r="F68" s="1"/>
      <c r="G68" s="2"/>
      <c r="H68" s="2"/>
      <c r="I68" s="2"/>
      <c r="J68" s="2"/>
      <c r="K68" s="2"/>
      <c r="L68" s="2"/>
      <c r="M68" s="2"/>
      <c r="N68" s="2"/>
      <c r="O68" s="2"/>
      <c r="P68" s="2"/>
      <c r="Q68" s="2"/>
      <c r="R68" s="2"/>
      <c r="S68" s="2"/>
      <c r="T68" s="2"/>
      <c r="U68" s="2"/>
      <c r="V68" s="2"/>
      <c r="W68" s="2"/>
      <c r="X68" s="2"/>
      <c r="Y68" s="2"/>
      <c r="Z68" s="2"/>
    </row>
    <row r="69" ht="15.75" customHeight="1">
      <c r="A69" s="1"/>
      <c r="B69" s="1"/>
      <c r="C69" s="1"/>
      <c r="D69" s="1"/>
      <c r="E69" s="1"/>
      <c r="F69" s="1"/>
      <c r="G69" s="2"/>
      <c r="H69" s="2"/>
      <c r="I69" s="2"/>
      <c r="J69" s="2"/>
      <c r="K69" s="2"/>
      <c r="L69" s="2"/>
      <c r="M69" s="2"/>
      <c r="N69" s="2"/>
      <c r="O69" s="2"/>
      <c r="P69" s="2"/>
      <c r="Q69" s="2"/>
      <c r="R69" s="2"/>
      <c r="S69" s="2"/>
      <c r="T69" s="2"/>
      <c r="U69" s="2"/>
      <c r="V69" s="2"/>
      <c r="W69" s="2"/>
      <c r="X69" s="2"/>
      <c r="Y69" s="2"/>
      <c r="Z69" s="2"/>
    </row>
    <row r="70" ht="15.75" customHeight="1">
      <c r="A70" s="1"/>
      <c r="B70" s="1"/>
      <c r="C70" s="1"/>
      <c r="D70" s="1"/>
      <c r="E70" s="1"/>
      <c r="F70" s="1"/>
      <c r="G70" s="2"/>
      <c r="H70" s="2"/>
      <c r="I70" s="2"/>
      <c r="J70" s="2"/>
      <c r="K70" s="2"/>
      <c r="L70" s="2"/>
      <c r="M70" s="2"/>
      <c r="N70" s="2"/>
      <c r="O70" s="2"/>
      <c r="P70" s="2"/>
      <c r="Q70" s="2"/>
      <c r="R70" s="2"/>
      <c r="S70" s="2"/>
      <c r="T70" s="2"/>
      <c r="U70" s="2"/>
      <c r="V70" s="2"/>
      <c r="W70" s="2"/>
      <c r="X70" s="2"/>
      <c r="Y70" s="2"/>
      <c r="Z70" s="2"/>
    </row>
    <row r="71" ht="15.75" customHeight="1">
      <c r="A71" s="1"/>
      <c r="B71" s="1"/>
      <c r="C71" s="1"/>
      <c r="D71" s="1"/>
      <c r="E71" s="1"/>
      <c r="F71" s="1"/>
      <c r="G71" s="2"/>
      <c r="H71" s="2"/>
      <c r="I71" s="2"/>
      <c r="J71" s="2"/>
      <c r="K71" s="2"/>
      <c r="L71" s="2"/>
      <c r="M71" s="2"/>
      <c r="N71" s="2"/>
      <c r="O71" s="2"/>
      <c r="P71" s="2"/>
      <c r="Q71" s="2"/>
      <c r="R71" s="2"/>
      <c r="S71" s="2"/>
      <c r="T71" s="2"/>
      <c r="U71" s="2"/>
      <c r="V71" s="2"/>
      <c r="W71" s="2"/>
      <c r="X71" s="2"/>
      <c r="Y71" s="2"/>
      <c r="Z71" s="2"/>
    </row>
    <row r="72" ht="15.75" customHeight="1">
      <c r="A72" s="1"/>
      <c r="B72" s="1"/>
      <c r="C72" s="1"/>
      <c r="D72" s="1"/>
      <c r="E72" s="1"/>
      <c r="F72" s="1"/>
      <c r="G72" s="2"/>
      <c r="H72" s="2"/>
      <c r="I72" s="2"/>
      <c r="J72" s="2"/>
      <c r="K72" s="2"/>
      <c r="L72" s="2"/>
      <c r="M72" s="2"/>
      <c r="N72" s="2"/>
      <c r="O72" s="2"/>
      <c r="P72" s="2"/>
      <c r="Q72" s="2"/>
      <c r="R72" s="2"/>
      <c r="S72" s="2"/>
      <c r="T72" s="2"/>
      <c r="U72" s="2"/>
      <c r="V72" s="2"/>
      <c r="W72" s="2"/>
      <c r="X72" s="2"/>
      <c r="Y72" s="2"/>
      <c r="Z72" s="2"/>
    </row>
    <row r="73" ht="15.75" customHeight="1">
      <c r="A73" s="1"/>
      <c r="B73" s="1"/>
      <c r="C73" s="1"/>
      <c r="D73" s="1"/>
      <c r="E73" s="1"/>
      <c r="F73" s="1"/>
      <c r="G73" s="2"/>
      <c r="H73" s="2"/>
      <c r="I73" s="2"/>
      <c r="J73" s="2"/>
      <c r="K73" s="2"/>
      <c r="L73" s="2"/>
      <c r="M73" s="2"/>
      <c r="N73" s="2"/>
      <c r="O73" s="2"/>
      <c r="P73" s="2"/>
      <c r="Q73" s="2"/>
      <c r="R73" s="2"/>
      <c r="S73" s="2"/>
      <c r="T73" s="2"/>
      <c r="U73" s="2"/>
      <c r="V73" s="2"/>
      <c r="W73" s="2"/>
      <c r="X73" s="2"/>
      <c r="Y73" s="2"/>
      <c r="Z73" s="2"/>
    </row>
    <row r="74" ht="15.75" customHeight="1">
      <c r="A74" s="1"/>
      <c r="B74" s="1"/>
      <c r="C74" s="1"/>
      <c r="D74" s="1"/>
      <c r="E74" s="1"/>
      <c r="F74" s="1"/>
      <c r="G74" s="2"/>
      <c r="H74" s="2"/>
      <c r="I74" s="2"/>
      <c r="J74" s="2"/>
      <c r="K74" s="2"/>
      <c r="L74" s="2"/>
      <c r="M74" s="2"/>
      <c r="N74" s="2"/>
      <c r="O74" s="2"/>
      <c r="P74" s="2"/>
      <c r="Q74" s="2"/>
      <c r="R74" s="2"/>
      <c r="S74" s="2"/>
      <c r="T74" s="2"/>
      <c r="U74" s="2"/>
      <c r="V74" s="2"/>
      <c r="W74" s="2"/>
      <c r="X74" s="2"/>
      <c r="Y74" s="2"/>
      <c r="Z74" s="2"/>
    </row>
    <row r="75" ht="15.75" customHeight="1">
      <c r="A75" s="1"/>
      <c r="B75" s="1"/>
      <c r="C75" s="1"/>
      <c r="D75" s="1"/>
      <c r="E75" s="1"/>
      <c r="F75" s="1"/>
      <c r="G75" s="2"/>
      <c r="H75" s="2"/>
      <c r="I75" s="2"/>
      <c r="J75" s="2"/>
      <c r="K75" s="2"/>
      <c r="L75" s="2"/>
      <c r="M75" s="2"/>
      <c r="N75" s="2"/>
      <c r="O75" s="2"/>
      <c r="P75" s="2"/>
      <c r="Q75" s="2"/>
      <c r="R75" s="2"/>
      <c r="S75" s="2"/>
      <c r="T75" s="2"/>
      <c r="U75" s="2"/>
      <c r="V75" s="2"/>
      <c r="W75" s="2"/>
      <c r="X75" s="2"/>
      <c r="Y75" s="2"/>
      <c r="Z75" s="2"/>
    </row>
    <row r="76" ht="15.75" customHeight="1">
      <c r="A76" s="1"/>
      <c r="B76" s="1"/>
      <c r="C76" s="1"/>
      <c r="D76" s="1"/>
      <c r="E76" s="1"/>
      <c r="F76" s="1"/>
      <c r="G76" s="2"/>
      <c r="H76" s="2"/>
      <c r="I76" s="2"/>
      <c r="J76" s="2"/>
      <c r="K76" s="2"/>
      <c r="L76" s="2"/>
      <c r="M76" s="2"/>
      <c r="N76" s="2"/>
      <c r="O76" s="2"/>
      <c r="P76" s="2"/>
      <c r="Q76" s="2"/>
      <c r="R76" s="2"/>
      <c r="S76" s="2"/>
      <c r="T76" s="2"/>
      <c r="U76" s="2"/>
      <c r="V76" s="2"/>
      <c r="W76" s="2"/>
      <c r="X76" s="2"/>
      <c r="Y76" s="2"/>
      <c r="Z76" s="2"/>
    </row>
    <row r="77" ht="15.75" customHeight="1">
      <c r="A77" s="1"/>
      <c r="B77" s="1"/>
      <c r="C77" s="1"/>
      <c r="D77" s="1"/>
      <c r="E77" s="1"/>
      <c r="F77" s="1"/>
      <c r="G77" s="2"/>
      <c r="H77" s="2"/>
      <c r="I77" s="2"/>
      <c r="J77" s="2"/>
      <c r="K77" s="2"/>
      <c r="L77" s="2"/>
      <c r="M77" s="2"/>
      <c r="N77" s="2"/>
      <c r="O77" s="2"/>
      <c r="P77" s="2"/>
      <c r="Q77" s="2"/>
      <c r="R77" s="2"/>
      <c r="S77" s="2"/>
      <c r="T77" s="2"/>
      <c r="U77" s="2"/>
      <c r="V77" s="2"/>
      <c r="W77" s="2"/>
      <c r="X77" s="2"/>
      <c r="Y77" s="2"/>
      <c r="Z77" s="2"/>
    </row>
    <row r="78" ht="15.75" customHeight="1">
      <c r="A78" s="1"/>
      <c r="B78" s="1"/>
      <c r="C78" s="1"/>
      <c r="D78" s="1"/>
      <c r="E78" s="1"/>
      <c r="F78" s="1"/>
      <c r="G78" s="2"/>
      <c r="H78" s="2"/>
      <c r="I78" s="2"/>
      <c r="J78" s="2"/>
      <c r="K78" s="2"/>
      <c r="L78" s="2"/>
      <c r="M78" s="2"/>
      <c r="N78" s="2"/>
      <c r="O78" s="2"/>
      <c r="P78" s="2"/>
      <c r="Q78" s="2"/>
      <c r="R78" s="2"/>
      <c r="S78" s="2"/>
      <c r="T78" s="2"/>
      <c r="U78" s="2"/>
      <c r="V78" s="2"/>
      <c r="W78" s="2"/>
      <c r="X78" s="2"/>
      <c r="Y78" s="2"/>
      <c r="Z78" s="2"/>
    </row>
    <row r="79" ht="15.75" customHeight="1">
      <c r="A79" s="1"/>
      <c r="B79" s="1"/>
      <c r="C79" s="1"/>
      <c r="D79" s="1"/>
      <c r="E79" s="1"/>
      <c r="F79" s="1"/>
      <c r="G79" s="2"/>
      <c r="H79" s="2"/>
      <c r="I79" s="2"/>
      <c r="J79" s="2"/>
      <c r="K79" s="2"/>
      <c r="L79" s="2"/>
      <c r="M79" s="2"/>
      <c r="N79" s="2"/>
      <c r="O79" s="2"/>
      <c r="P79" s="2"/>
      <c r="Q79" s="2"/>
      <c r="R79" s="2"/>
      <c r="S79" s="2"/>
      <c r="T79" s="2"/>
      <c r="U79" s="2"/>
      <c r="V79" s="2"/>
      <c r="W79" s="2"/>
      <c r="X79" s="2"/>
      <c r="Y79" s="2"/>
      <c r="Z79" s="2"/>
    </row>
    <row r="80" ht="15.75" customHeight="1">
      <c r="A80" s="1"/>
      <c r="B80" s="1"/>
      <c r="C80" s="1"/>
      <c r="D80" s="1"/>
      <c r="E80" s="1"/>
      <c r="F80" s="1"/>
      <c r="G80" s="2"/>
      <c r="H80" s="2"/>
      <c r="I80" s="2"/>
      <c r="J80" s="2"/>
      <c r="K80" s="2"/>
      <c r="L80" s="2"/>
      <c r="M80" s="2"/>
      <c r="N80" s="2"/>
      <c r="O80" s="2"/>
      <c r="P80" s="2"/>
      <c r="Q80" s="2"/>
      <c r="R80" s="2"/>
      <c r="S80" s="2"/>
      <c r="T80" s="2"/>
      <c r="U80" s="2"/>
      <c r="V80" s="2"/>
      <c r="W80" s="2"/>
      <c r="X80" s="2"/>
      <c r="Y80" s="2"/>
      <c r="Z80" s="2"/>
    </row>
    <row r="81" ht="15.75" customHeight="1">
      <c r="A81" s="1"/>
      <c r="B81" s="1"/>
      <c r="C81" s="1"/>
      <c r="D81" s="1"/>
      <c r="E81" s="1"/>
      <c r="F81" s="1"/>
      <c r="G81" s="2"/>
      <c r="H81" s="2"/>
      <c r="I81" s="2"/>
      <c r="J81" s="2"/>
      <c r="K81" s="2"/>
      <c r="L81" s="2"/>
      <c r="M81" s="2"/>
      <c r="N81" s="2"/>
      <c r="O81" s="2"/>
      <c r="P81" s="2"/>
      <c r="Q81" s="2"/>
      <c r="R81" s="2"/>
      <c r="S81" s="2"/>
      <c r="T81" s="2"/>
      <c r="U81" s="2"/>
      <c r="V81" s="2"/>
      <c r="W81" s="2"/>
      <c r="X81" s="2"/>
      <c r="Y81" s="2"/>
      <c r="Z81" s="2"/>
    </row>
    <row r="82" ht="15.75" customHeight="1">
      <c r="A82" s="1"/>
      <c r="B82" s="1"/>
      <c r="C82" s="1"/>
      <c r="D82" s="1"/>
      <c r="E82" s="1"/>
      <c r="F82" s="1"/>
      <c r="G82" s="2"/>
      <c r="H82" s="2"/>
      <c r="I82" s="2"/>
      <c r="J82" s="2"/>
      <c r="K82" s="2"/>
      <c r="L82" s="2"/>
      <c r="M82" s="2"/>
      <c r="N82" s="2"/>
      <c r="O82" s="2"/>
      <c r="P82" s="2"/>
      <c r="Q82" s="2"/>
      <c r="R82" s="2"/>
      <c r="S82" s="2"/>
      <c r="T82" s="2"/>
      <c r="U82" s="2"/>
      <c r="V82" s="2"/>
      <c r="W82" s="2"/>
      <c r="X82" s="2"/>
      <c r="Y82" s="2"/>
      <c r="Z82" s="2"/>
    </row>
    <row r="83" ht="15.75" customHeight="1">
      <c r="A83" s="1"/>
      <c r="B83" s="1"/>
      <c r="C83" s="1"/>
      <c r="D83" s="1"/>
      <c r="E83" s="1"/>
      <c r="F83" s="1"/>
      <c r="G83" s="2"/>
      <c r="H83" s="2"/>
      <c r="I83" s="2"/>
      <c r="J83" s="2"/>
      <c r="K83" s="2"/>
      <c r="L83" s="2"/>
      <c r="M83" s="2"/>
      <c r="N83" s="2"/>
      <c r="O83" s="2"/>
      <c r="P83" s="2"/>
      <c r="Q83" s="2"/>
      <c r="R83" s="2"/>
      <c r="S83" s="2"/>
      <c r="T83" s="2"/>
      <c r="U83" s="2"/>
      <c r="V83" s="2"/>
      <c r="W83" s="2"/>
      <c r="X83" s="2"/>
      <c r="Y83" s="2"/>
      <c r="Z83" s="2"/>
    </row>
    <row r="84" ht="15.75" customHeight="1">
      <c r="A84" s="1"/>
      <c r="B84" s="1"/>
      <c r="C84" s="1"/>
      <c r="D84" s="1"/>
      <c r="E84" s="1"/>
      <c r="F84" s="1"/>
      <c r="G84" s="2"/>
      <c r="H84" s="2"/>
      <c r="I84" s="2"/>
      <c r="J84" s="2"/>
      <c r="K84" s="2"/>
      <c r="L84" s="2"/>
      <c r="M84" s="2"/>
      <c r="N84" s="2"/>
      <c r="O84" s="2"/>
      <c r="P84" s="2"/>
      <c r="Q84" s="2"/>
      <c r="R84" s="2"/>
      <c r="S84" s="2"/>
      <c r="T84" s="2"/>
      <c r="U84" s="2"/>
      <c r="V84" s="2"/>
      <c r="W84" s="2"/>
      <c r="X84" s="2"/>
      <c r="Y84" s="2"/>
      <c r="Z84" s="2"/>
    </row>
    <row r="85" ht="15.75" customHeight="1">
      <c r="A85" s="1"/>
      <c r="B85" s="1"/>
      <c r="C85" s="1"/>
      <c r="D85" s="1"/>
      <c r="E85" s="1"/>
      <c r="F85" s="1"/>
      <c r="G85" s="2"/>
      <c r="H85" s="2"/>
      <c r="I85" s="2"/>
      <c r="J85" s="2"/>
      <c r="K85" s="2"/>
      <c r="L85" s="2"/>
      <c r="M85" s="2"/>
      <c r="N85" s="2"/>
      <c r="O85" s="2"/>
      <c r="P85" s="2"/>
      <c r="Q85" s="2"/>
      <c r="R85" s="2"/>
      <c r="S85" s="2"/>
      <c r="T85" s="2"/>
      <c r="U85" s="2"/>
      <c r="V85" s="2"/>
      <c r="W85" s="2"/>
      <c r="X85" s="2"/>
      <c r="Y85" s="2"/>
      <c r="Z85" s="2"/>
    </row>
    <row r="86" ht="15.75" customHeight="1">
      <c r="A86" s="1"/>
      <c r="B86" s="1"/>
      <c r="C86" s="1"/>
      <c r="D86" s="1"/>
      <c r="E86" s="1"/>
      <c r="F86" s="1"/>
      <c r="G86" s="2"/>
      <c r="H86" s="2"/>
      <c r="I86" s="2"/>
      <c r="J86" s="2"/>
      <c r="K86" s="2"/>
      <c r="L86" s="2"/>
      <c r="M86" s="2"/>
      <c r="N86" s="2"/>
      <c r="O86" s="2"/>
      <c r="P86" s="2"/>
      <c r="Q86" s="2"/>
      <c r="R86" s="2"/>
      <c r="S86" s="2"/>
      <c r="T86" s="2"/>
      <c r="U86" s="2"/>
      <c r="V86" s="2"/>
      <c r="W86" s="2"/>
      <c r="X86" s="2"/>
      <c r="Y86" s="2"/>
      <c r="Z86" s="2"/>
    </row>
    <row r="87" ht="15.75" customHeight="1">
      <c r="A87" s="1"/>
      <c r="B87" s="1"/>
      <c r="C87" s="1"/>
      <c r="D87" s="1"/>
      <c r="E87" s="1"/>
      <c r="F87" s="1"/>
      <c r="G87" s="2"/>
      <c r="H87" s="2"/>
      <c r="I87" s="2"/>
      <c r="J87" s="2"/>
      <c r="K87" s="2"/>
      <c r="L87" s="2"/>
      <c r="M87" s="2"/>
      <c r="N87" s="2"/>
      <c r="O87" s="2"/>
      <c r="P87" s="2"/>
      <c r="Q87" s="2"/>
      <c r="R87" s="2"/>
      <c r="S87" s="2"/>
      <c r="T87" s="2"/>
      <c r="U87" s="2"/>
      <c r="V87" s="2"/>
      <c r="W87" s="2"/>
      <c r="X87" s="2"/>
      <c r="Y87" s="2"/>
      <c r="Z87" s="2"/>
    </row>
    <row r="88" ht="15.75" customHeight="1">
      <c r="A88" s="1"/>
      <c r="B88" s="1"/>
      <c r="C88" s="1"/>
      <c r="D88" s="1"/>
      <c r="E88" s="1"/>
      <c r="F88" s="1"/>
      <c r="G88" s="2"/>
      <c r="H88" s="2"/>
      <c r="I88" s="2"/>
      <c r="J88" s="2"/>
      <c r="K88" s="2"/>
      <c r="L88" s="2"/>
      <c r="M88" s="2"/>
      <c r="N88" s="2"/>
      <c r="O88" s="2"/>
      <c r="P88" s="2"/>
      <c r="Q88" s="2"/>
      <c r="R88" s="2"/>
      <c r="S88" s="2"/>
      <c r="T88" s="2"/>
      <c r="U88" s="2"/>
      <c r="V88" s="2"/>
      <c r="W88" s="2"/>
      <c r="X88" s="2"/>
      <c r="Y88" s="2"/>
      <c r="Z88" s="2"/>
    </row>
    <row r="89" ht="15.75" customHeight="1">
      <c r="A89" s="1"/>
      <c r="B89" s="1"/>
      <c r="C89" s="1"/>
      <c r="D89" s="1"/>
      <c r="E89" s="1"/>
      <c r="F89" s="1"/>
      <c r="G89" s="2"/>
      <c r="H89" s="2"/>
      <c r="I89" s="2"/>
      <c r="J89" s="2"/>
      <c r="K89" s="2"/>
      <c r="L89" s="2"/>
      <c r="M89" s="2"/>
      <c r="N89" s="2"/>
      <c r="O89" s="2"/>
      <c r="P89" s="2"/>
      <c r="Q89" s="2"/>
      <c r="R89" s="2"/>
      <c r="S89" s="2"/>
      <c r="T89" s="2"/>
      <c r="U89" s="2"/>
      <c r="V89" s="2"/>
      <c r="W89" s="2"/>
      <c r="X89" s="2"/>
      <c r="Y89" s="2"/>
      <c r="Z89" s="2"/>
    </row>
    <row r="90" ht="15.75" customHeight="1">
      <c r="A90" s="1"/>
      <c r="B90" s="1"/>
      <c r="C90" s="1"/>
      <c r="D90" s="1"/>
      <c r="E90" s="1"/>
      <c r="F90" s="1"/>
      <c r="G90" s="2"/>
      <c r="H90" s="2"/>
      <c r="I90" s="2"/>
      <c r="J90" s="2"/>
      <c r="K90" s="2"/>
      <c r="L90" s="2"/>
      <c r="M90" s="2"/>
      <c r="N90" s="2"/>
      <c r="O90" s="2"/>
      <c r="P90" s="2"/>
      <c r="Q90" s="2"/>
      <c r="R90" s="2"/>
      <c r="S90" s="2"/>
      <c r="T90" s="2"/>
      <c r="U90" s="2"/>
      <c r="V90" s="2"/>
      <c r="W90" s="2"/>
      <c r="X90" s="2"/>
      <c r="Y90" s="2"/>
      <c r="Z90" s="2"/>
    </row>
    <row r="91" ht="15.75" customHeight="1">
      <c r="A91" s="1"/>
      <c r="B91" s="1"/>
      <c r="C91" s="1"/>
      <c r="D91" s="1"/>
      <c r="E91" s="1"/>
      <c r="F91" s="1"/>
      <c r="G91" s="2"/>
      <c r="H91" s="2"/>
      <c r="I91" s="2"/>
      <c r="J91" s="2"/>
      <c r="K91" s="2"/>
      <c r="L91" s="2"/>
      <c r="M91" s="2"/>
      <c r="N91" s="2"/>
      <c r="O91" s="2"/>
      <c r="P91" s="2"/>
      <c r="Q91" s="2"/>
      <c r="R91" s="2"/>
      <c r="S91" s="2"/>
      <c r="T91" s="2"/>
      <c r="U91" s="2"/>
      <c r="V91" s="2"/>
      <c r="W91" s="2"/>
      <c r="X91" s="2"/>
      <c r="Y91" s="2"/>
      <c r="Z91" s="2"/>
    </row>
    <row r="92" ht="15.75" customHeight="1">
      <c r="A92" s="1"/>
      <c r="B92" s="1"/>
      <c r="C92" s="1"/>
      <c r="D92" s="1"/>
      <c r="E92" s="1"/>
      <c r="F92" s="1"/>
      <c r="G92" s="2"/>
      <c r="H92" s="2"/>
      <c r="I92" s="2"/>
      <c r="J92" s="2"/>
      <c r="K92" s="2"/>
      <c r="L92" s="2"/>
      <c r="M92" s="2"/>
      <c r="N92" s="2"/>
      <c r="O92" s="2"/>
      <c r="P92" s="2"/>
      <c r="Q92" s="2"/>
      <c r="R92" s="2"/>
      <c r="S92" s="2"/>
      <c r="T92" s="2"/>
      <c r="U92" s="2"/>
      <c r="V92" s="2"/>
      <c r="W92" s="2"/>
      <c r="X92" s="2"/>
      <c r="Y92" s="2"/>
      <c r="Z92" s="2"/>
    </row>
    <row r="93" ht="15.75" customHeight="1">
      <c r="A93" s="1"/>
      <c r="B93" s="1"/>
      <c r="C93" s="1"/>
      <c r="D93" s="1"/>
      <c r="E93" s="1"/>
      <c r="F93" s="1"/>
      <c r="G93" s="2"/>
      <c r="H93" s="2"/>
      <c r="I93" s="2"/>
      <c r="J93" s="2"/>
      <c r="K93" s="2"/>
      <c r="L93" s="2"/>
      <c r="M93" s="2"/>
      <c r="N93" s="2"/>
      <c r="O93" s="2"/>
      <c r="P93" s="2"/>
      <c r="Q93" s="2"/>
      <c r="R93" s="2"/>
      <c r="S93" s="2"/>
      <c r="T93" s="2"/>
      <c r="U93" s="2"/>
      <c r="V93" s="2"/>
      <c r="W93" s="2"/>
      <c r="X93" s="2"/>
      <c r="Y93" s="2"/>
      <c r="Z93" s="2"/>
    </row>
    <row r="94" ht="15.75" customHeight="1">
      <c r="A94" s="1"/>
      <c r="B94" s="1"/>
      <c r="C94" s="1"/>
      <c r="D94" s="1"/>
      <c r="E94" s="1"/>
      <c r="F94" s="1"/>
      <c r="G94" s="2"/>
      <c r="H94" s="2"/>
      <c r="I94" s="2"/>
      <c r="J94" s="2"/>
      <c r="K94" s="2"/>
      <c r="L94" s="2"/>
      <c r="M94" s="2"/>
      <c r="N94" s="2"/>
      <c r="O94" s="2"/>
      <c r="P94" s="2"/>
      <c r="Q94" s="2"/>
      <c r="R94" s="2"/>
      <c r="S94" s="2"/>
      <c r="T94" s="2"/>
      <c r="U94" s="2"/>
      <c r="V94" s="2"/>
      <c r="W94" s="2"/>
      <c r="X94" s="2"/>
      <c r="Y94" s="2"/>
      <c r="Z94" s="2"/>
    </row>
    <row r="95" ht="15.75" customHeight="1">
      <c r="A95" s="1"/>
      <c r="B95" s="1"/>
      <c r="C95" s="1"/>
      <c r="D95" s="1"/>
      <c r="E95" s="1"/>
      <c r="F95" s="1"/>
      <c r="G95" s="2"/>
      <c r="H95" s="2"/>
      <c r="I95" s="2"/>
      <c r="J95" s="2"/>
      <c r="K95" s="2"/>
      <c r="L95" s="2"/>
      <c r="M95" s="2"/>
      <c r="N95" s="2"/>
      <c r="O95" s="2"/>
      <c r="P95" s="2"/>
      <c r="Q95" s="2"/>
      <c r="R95" s="2"/>
      <c r="S95" s="2"/>
      <c r="T95" s="2"/>
      <c r="U95" s="2"/>
      <c r="V95" s="2"/>
      <c r="W95" s="2"/>
      <c r="X95" s="2"/>
      <c r="Y95" s="2"/>
      <c r="Z95" s="2"/>
    </row>
    <row r="96" ht="15.75" customHeight="1">
      <c r="A96" s="1"/>
      <c r="B96" s="1"/>
      <c r="C96" s="1"/>
      <c r="D96" s="1"/>
      <c r="E96" s="1"/>
      <c r="F96" s="1"/>
      <c r="G96" s="2"/>
      <c r="H96" s="2"/>
      <c r="I96" s="2"/>
      <c r="J96" s="2"/>
      <c r="K96" s="2"/>
      <c r="L96" s="2"/>
      <c r="M96" s="2"/>
      <c r="N96" s="2"/>
      <c r="O96" s="2"/>
      <c r="P96" s="2"/>
      <c r="Q96" s="2"/>
      <c r="R96" s="2"/>
      <c r="S96" s="2"/>
      <c r="T96" s="2"/>
      <c r="U96" s="2"/>
      <c r="V96" s="2"/>
      <c r="W96" s="2"/>
      <c r="X96" s="2"/>
      <c r="Y96" s="2"/>
      <c r="Z96" s="2"/>
    </row>
    <row r="97" ht="15.75" customHeight="1">
      <c r="A97" s="1"/>
      <c r="B97" s="1"/>
      <c r="C97" s="1"/>
      <c r="D97" s="1"/>
      <c r="E97" s="1"/>
      <c r="F97" s="1"/>
      <c r="G97" s="2"/>
      <c r="H97" s="2"/>
      <c r="I97" s="2"/>
      <c r="J97" s="2"/>
      <c r="K97" s="2"/>
      <c r="L97" s="2"/>
      <c r="M97" s="2"/>
      <c r="N97" s="2"/>
      <c r="O97" s="2"/>
      <c r="P97" s="2"/>
      <c r="Q97" s="2"/>
      <c r="R97" s="2"/>
      <c r="S97" s="2"/>
      <c r="T97" s="2"/>
      <c r="U97" s="2"/>
      <c r="V97" s="2"/>
      <c r="W97" s="2"/>
      <c r="X97" s="2"/>
      <c r="Y97" s="2"/>
      <c r="Z97" s="2"/>
    </row>
    <row r="98" ht="15.75" customHeight="1">
      <c r="A98" s="1"/>
      <c r="B98" s="1"/>
      <c r="C98" s="1"/>
      <c r="D98" s="1"/>
      <c r="E98" s="1"/>
      <c r="F98" s="1"/>
      <c r="G98" s="2"/>
      <c r="H98" s="2"/>
      <c r="I98" s="2"/>
      <c r="J98" s="2"/>
      <c r="K98" s="2"/>
      <c r="L98" s="2"/>
      <c r="M98" s="2"/>
      <c r="N98" s="2"/>
      <c r="O98" s="2"/>
      <c r="P98" s="2"/>
      <c r="Q98" s="2"/>
      <c r="R98" s="2"/>
      <c r="S98" s="2"/>
      <c r="T98" s="2"/>
      <c r="U98" s="2"/>
      <c r="V98" s="2"/>
      <c r="W98" s="2"/>
      <c r="X98" s="2"/>
      <c r="Y98" s="2"/>
      <c r="Z98" s="2"/>
    </row>
    <row r="99" ht="15.75" customHeight="1">
      <c r="A99" s="1"/>
      <c r="B99" s="1"/>
      <c r="C99" s="1"/>
      <c r="D99" s="1"/>
      <c r="E99" s="1"/>
      <c r="F99" s="1"/>
      <c r="G99" s="2"/>
      <c r="H99" s="2"/>
      <c r="I99" s="2"/>
      <c r="J99" s="2"/>
      <c r="K99" s="2"/>
      <c r="L99" s="2"/>
      <c r="M99" s="2"/>
      <c r="N99" s="2"/>
      <c r="O99" s="2"/>
      <c r="P99" s="2"/>
      <c r="Q99" s="2"/>
      <c r="R99" s="2"/>
      <c r="S99" s="2"/>
      <c r="T99" s="2"/>
      <c r="U99" s="2"/>
      <c r="V99" s="2"/>
      <c r="W99" s="2"/>
      <c r="X99" s="2"/>
      <c r="Y99" s="2"/>
      <c r="Z99" s="2"/>
    </row>
    <row r="100" ht="15.75" customHeight="1">
      <c r="A100" s="1"/>
      <c r="B100" s="1"/>
      <c r="C100" s="1"/>
      <c r="D100" s="1"/>
      <c r="E100" s="1"/>
      <c r="F100" s="1"/>
      <c r="G100" s="2"/>
      <c r="H100" s="2"/>
      <c r="I100" s="2"/>
      <c r="J100" s="2"/>
      <c r="K100" s="2"/>
      <c r="L100" s="2"/>
      <c r="M100" s="2"/>
      <c r="N100" s="2"/>
      <c r="O100" s="2"/>
      <c r="P100" s="2"/>
      <c r="Q100" s="2"/>
      <c r="R100" s="2"/>
      <c r="S100" s="2"/>
      <c r="T100" s="2"/>
      <c r="U100" s="2"/>
      <c r="V100" s="2"/>
      <c r="W100" s="2"/>
      <c r="X100" s="2"/>
      <c r="Y100" s="2"/>
      <c r="Z100" s="2"/>
    </row>
    <row r="101" ht="15.75" customHeight="1">
      <c r="A101" s="1"/>
      <c r="B101" s="1"/>
      <c r="C101" s="1"/>
      <c r="D101" s="1"/>
      <c r="E101" s="1"/>
      <c r="F101" s="1"/>
      <c r="G101" s="2"/>
      <c r="H101" s="2"/>
      <c r="I101" s="2"/>
      <c r="J101" s="2"/>
      <c r="K101" s="2"/>
      <c r="L101" s="2"/>
      <c r="M101" s="2"/>
      <c r="N101" s="2"/>
      <c r="O101" s="2"/>
      <c r="P101" s="2"/>
      <c r="Q101" s="2"/>
      <c r="R101" s="2"/>
      <c r="S101" s="2"/>
      <c r="T101" s="2"/>
      <c r="U101" s="2"/>
      <c r="V101" s="2"/>
      <c r="W101" s="2"/>
      <c r="X101" s="2"/>
      <c r="Y101" s="2"/>
      <c r="Z101" s="2"/>
    </row>
    <row r="102" ht="15.75" customHeight="1">
      <c r="A102" s="1"/>
      <c r="B102" s="1"/>
      <c r="C102" s="1"/>
      <c r="D102" s="1"/>
      <c r="E102" s="1"/>
      <c r="F102" s="1"/>
      <c r="G102" s="2"/>
      <c r="H102" s="2"/>
      <c r="I102" s="2"/>
      <c r="J102" s="2"/>
      <c r="K102" s="2"/>
      <c r="L102" s="2"/>
      <c r="M102" s="2"/>
      <c r="N102" s="2"/>
      <c r="O102" s="2"/>
      <c r="P102" s="2"/>
      <c r="Q102" s="2"/>
      <c r="R102" s="2"/>
      <c r="S102" s="2"/>
      <c r="T102" s="2"/>
      <c r="U102" s="2"/>
      <c r="V102" s="2"/>
      <c r="W102" s="2"/>
      <c r="X102" s="2"/>
      <c r="Y102" s="2"/>
      <c r="Z102" s="2"/>
    </row>
    <row r="103" ht="15.75" customHeight="1">
      <c r="A103" s="1"/>
      <c r="B103" s="1"/>
      <c r="C103" s="1"/>
      <c r="D103" s="1"/>
      <c r="E103" s="1"/>
      <c r="F103" s="1"/>
      <c r="G103" s="2"/>
      <c r="H103" s="2"/>
      <c r="I103" s="2"/>
      <c r="J103" s="2"/>
      <c r="K103" s="2"/>
      <c r="L103" s="2"/>
      <c r="M103" s="2"/>
      <c r="N103" s="2"/>
      <c r="O103" s="2"/>
      <c r="P103" s="2"/>
      <c r="Q103" s="2"/>
      <c r="R103" s="2"/>
      <c r="S103" s="2"/>
      <c r="T103" s="2"/>
      <c r="U103" s="2"/>
      <c r="V103" s="2"/>
      <c r="W103" s="2"/>
      <c r="X103" s="2"/>
      <c r="Y103" s="2"/>
      <c r="Z103" s="2"/>
    </row>
    <row r="104" ht="15.75" customHeight="1">
      <c r="A104" s="1"/>
      <c r="B104" s="1"/>
      <c r="C104" s="1"/>
      <c r="D104" s="1"/>
      <c r="E104" s="1"/>
      <c r="F104" s="1"/>
      <c r="G104" s="2"/>
      <c r="H104" s="2"/>
      <c r="I104" s="2"/>
      <c r="J104" s="2"/>
      <c r="K104" s="2"/>
      <c r="L104" s="2"/>
      <c r="M104" s="2"/>
      <c r="N104" s="2"/>
      <c r="O104" s="2"/>
      <c r="P104" s="2"/>
      <c r="Q104" s="2"/>
      <c r="R104" s="2"/>
      <c r="S104" s="2"/>
      <c r="T104" s="2"/>
      <c r="U104" s="2"/>
      <c r="V104" s="2"/>
      <c r="W104" s="2"/>
      <c r="X104" s="2"/>
      <c r="Y104" s="2"/>
      <c r="Z104" s="2"/>
    </row>
    <row r="105" ht="15.75" customHeight="1">
      <c r="A105" s="1"/>
      <c r="B105" s="1"/>
      <c r="C105" s="1"/>
      <c r="D105" s="1"/>
      <c r="E105" s="1"/>
      <c r="F105" s="1"/>
      <c r="G105" s="2"/>
      <c r="H105" s="2"/>
      <c r="I105" s="2"/>
      <c r="J105" s="2"/>
      <c r="K105" s="2"/>
      <c r="L105" s="2"/>
      <c r="M105" s="2"/>
      <c r="N105" s="2"/>
      <c r="O105" s="2"/>
      <c r="P105" s="2"/>
      <c r="Q105" s="2"/>
      <c r="R105" s="2"/>
      <c r="S105" s="2"/>
      <c r="T105" s="2"/>
      <c r="U105" s="2"/>
      <c r="V105" s="2"/>
      <c r="W105" s="2"/>
      <c r="X105" s="2"/>
      <c r="Y105" s="2"/>
      <c r="Z105" s="2"/>
    </row>
    <row r="106" ht="15.75" customHeight="1">
      <c r="A106" s="1"/>
      <c r="B106" s="1"/>
      <c r="C106" s="1"/>
      <c r="D106" s="1"/>
      <c r="E106" s="1"/>
      <c r="F106" s="1"/>
      <c r="G106" s="2"/>
      <c r="H106" s="2"/>
      <c r="I106" s="2"/>
      <c r="J106" s="2"/>
      <c r="K106" s="2"/>
      <c r="L106" s="2"/>
      <c r="M106" s="2"/>
      <c r="N106" s="2"/>
      <c r="O106" s="2"/>
      <c r="P106" s="2"/>
      <c r="Q106" s="2"/>
      <c r="R106" s="2"/>
      <c r="S106" s="2"/>
      <c r="T106" s="2"/>
      <c r="U106" s="2"/>
      <c r="V106" s="2"/>
      <c r="W106" s="2"/>
      <c r="X106" s="2"/>
      <c r="Y106" s="2"/>
      <c r="Z106" s="2"/>
    </row>
    <row r="107" ht="15.75" customHeight="1">
      <c r="A107" s="1"/>
      <c r="B107" s="1"/>
      <c r="C107" s="1"/>
      <c r="D107" s="1"/>
      <c r="E107" s="1"/>
      <c r="F107" s="1"/>
      <c r="G107" s="2"/>
      <c r="H107" s="2"/>
      <c r="I107" s="2"/>
      <c r="J107" s="2"/>
      <c r="K107" s="2"/>
      <c r="L107" s="2"/>
      <c r="M107" s="2"/>
      <c r="N107" s="2"/>
      <c r="O107" s="2"/>
      <c r="P107" s="2"/>
      <c r="Q107" s="2"/>
      <c r="R107" s="2"/>
      <c r="S107" s="2"/>
      <c r="T107" s="2"/>
      <c r="U107" s="2"/>
      <c r="V107" s="2"/>
      <c r="W107" s="2"/>
      <c r="X107" s="2"/>
      <c r="Y107" s="2"/>
      <c r="Z107" s="2"/>
    </row>
    <row r="108" ht="15.75" customHeight="1">
      <c r="A108" s="1"/>
      <c r="B108" s="1"/>
      <c r="C108" s="1"/>
      <c r="D108" s="1"/>
      <c r="E108" s="1"/>
      <c r="F108" s="1"/>
      <c r="G108" s="2"/>
      <c r="H108" s="2"/>
      <c r="I108" s="2"/>
      <c r="J108" s="2"/>
      <c r="K108" s="2"/>
      <c r="L108" s="2"/>
      <c r="M108" s="2"/>
      <c r="N108" s="2"/>
      <c r="O108" s="2"/>
      <c r="P108" s="2"/>
      <c r="Q108" s="2"/>
      <c r="R108" s="2"/>
      <c r="S108" s="2"/>
      <c r="T108" s="2"/>
      <c r="U108" s="2"/>
      <c r="V108" s="2"/>
      <c r="W108" s="2"/>
      <c r="X108" s="2"/>
      <c r="Y108" s="2"/>
      <c r="Z108" s="2"/>
    </row>
    <row r="109" ht="15.75" customHeight="1">
      <c r="A109" s="1"/>
      <c r="B109" s="1"/>
      <c r="C109" s="1"/>
      <c r="D109" s="1"/>
      <c r="E109" s="1"/>
      <c r="F109" s="1"/>
      <c r="G109" s="2"/>
      <c r="H109" s="2"/>
      <c r="I109" s="2"/>
      <c r="J109" s="2"/>
      <c r="K109" s="2"/>
      <c r="L109" s="2"/>
      <c r="M109" s="2"/>
      <c r="N109" s="2"/>
      <c r="O109" s="2"/>
      <c r="P109" s="2"/>
      <c r="Q109" s="2"/>
      <c r="R109" s="2"/>
      <c r="S109" s="2"/>
      <c r="T109" s="2"/>
      <c r="U109" s="2"/>
      <c r="V109" s="2"/>
      <c r="W109" s="2"/>
      <c r="X109" s="2"/>
      <c r="Y109" s="2"/>
      <c r="Z109" s="2"/>
    </row>
    <row r="110" ht="15.75" customHeight="1">
      <c r="A110" s="1"/>
      <c r="B110" s="1"/>
      <c r="C110" s="1"/>
      <c r="D110" s="1"/>
      <c r="E110" s="1"/>
      <c r="F110" s="1"/>
      <c r="G110" s="2"/>
      <c r="H110" s="2"/>
      <c r="I110" s="2"/>
      <c r="J110" s="2"/>
      <c r="K110" s="2"/>
      <c r="L110" s="2"/>
      <c r="M110" s="2"/>
      <c r="N110" s="2"/>
      <c r="O110" s="2"/>
      <c r="P110" s="2"/>
      <c r="Q110" s="2"/>
      <c r="R110" s="2"/>
      <c r="S110" s="2"/>
      <c r="T110" s="2"/>
      <c r="U110" s="2"/>
      <c r="V110" s="2"/>
      <c r="W110" s="2"/>
      <c r="X110" s="2"/>
      <c r="Y110" s="2"/>
      <c r="Z110" s="2"/>
    </row>
    <row r="111" ht="15.75" customHeight="1">
      <c r="A111" s="1"/>
      <c r="B111" s="1"/>
      <c r="C111" s="1"/>
      <c r="D111" s="1"/>
      <c r="E111" s="1"/>
      <c r="F111" s="1"/>
      <c r="G111" s="2"/>
      <c r="H111" s="2"/>
      <c r="I111" s="2"/>
      <c r="J111" s="2"/>
      <c r="K111" s="2"/>
      <c r="L111" s="2"/>
      <c r="M111" s="2"/>
      <c r="N111" s="2"/>
      <c r="O111" s="2"/>
      <c r="P111" s="2"/>
      <c r="Q111" s="2"/>
      <c r="R111" s="2"/>
      <c r="S111" s="2"/>
      <c r="T111" s="2"/>
      <c r="U111" s="2"/>
      <c r="V111" s="2"/>
      <c r="W111" s="2"/>
      <c r="X111" s="2"/>
      <c r="Y111" s="2"/>
      <c r="Z111" s="2"/>
    </row>
    <row r="112" ht="15.75" customHeight="1">
      <c r="A112" s="1"/>
      <c r="B112" s="1"/>
      <c r="C112" s="1"/>
      <c r="D112" s="1"/>
      <c r="E112" s="1"/>
      <c r="F112" s="1"/>
      <c r="G112" s="2"/>
      <c r="H112" s="2"/>
      <c r="I112" s="2"/>
      <c r="J112" s="2"/>
      <c r="K112" s="2"/>
      <c r="L112" s="2"/>
      <c r="M112" s="2"/>
      <c r="N112" s="2"/>
      <c r="O112" s="2"/>
      <c r="P112" s="2"/>
      <c r="Q112" s="2"/>
      <c r="R112" s="2"/>
      <c r="S112" s="2"/>
      <c r="T112" s="2"/>
      <c r="U112" s="2"/>
      <c r="V112" s="2"/>
      <c r="W112" s="2"/>
      <c r="X112" s="2"/>
      <c r="Y112" s="2"/>
      <c r="Z112" s="2"/>
    </row>
    <row r="113" ht="15.75" customHeight="1">
      <c r="A113" s="1"/>
      <c r="B113" s="1"/>
      <c r="C113" s="1"/>
      <c r="D113" s="1"/>
      <c r="E113" s="1"/>
      <c r="F113" s="1"/>
      <c r="G113" s="2"/>
      <c r="H113" s="2"/>
      <c r="I113" s="2"/>
      <c r="J113" s="2"/>
      <c r="K113" s="2"/>
      <c r="L113" s="2"/>
      <c r="M113" s="2"/>
      <c r="N113" s="2"/>
      <c r="O113" s="2"/>
      <c r="P113" s="2"/>
      <c r="Q113" s="2"/>
      <c r="R113" s="2"/>
      <c r="S113" s="2"/>
      <c r="T113" s="2"/>
      <c r="U113" s="2"/>
      <c r="V113" s="2"/>
      <c r="W113" s="2"/>
      <c r="X113" s="2"/>
      <c r="Y113" s="2"/>
      <c r="Z113" s="2"/>
    </row>
    <row r="114" ht="15.75" customHeight="1">
      <c r="A114" s="1"/>
      <c r="B114" s="1"/>
      <c r="C114" s="1"/>
      <c r="D114" s="1"/>
      <c r="E114" s="1"/>
      <c r="F114" s="1"/>
      <c r="G114" s="2"/>
      <c r="H114" s="2"/>
      <c r="I114" s="2"/>
      <c r="J114" s="2"/>
      <c r="K114" s="2"/>
      <c r="L114" s="2"/>
      <c r="M114" s="2"/>
      <c r="N114" s="2"/>
      <c r="O114" s="2"/>
      <c r="P114" s="2"/>
      <c r="Q114" s="2"/>
      <c r="R114" s="2"/>
      <c r="S114" s="2"/>
      <c r="T114" s="2"/>
      <c r="U114" s="2"/>
      <c r="V114" s="2"/>
      <c r="W114" s="2"/>
      <c r="X114" s="2"/>
      <c r="Y114" s="2"/>
      <c r="Z114" s="2"/>
    </row>
    <row r="115" ht="15.75" customHeight="1">
      <c r="A115" s="1"/>
      <c r="B115" s="1"/>
      <c r="C115" s="1"/>
      <c r="D115" s="1"/>
      <c r="E115" s="1"/>
      <c r="F115" s="1"/>
      <c r="G115" s="2"/>
      <c r="H115" s="2"/>
      <c r="I115" s="2"/>
      <c r="J115" s="2"/>
      <c r="K115" s="2"/>
      <c r="L115" s="2"/>
      <c r="M115" s="2"/>
      <c r="N115" s="2"/>
      <c r="O115" s="2"/>
      <c r="P115" s="2"/>
      <c r="Q115" s="2"/>
      <c r="R115" s="2"/>
      <c r="S115" s="2"/>
      <c r="T115" s="2"/>
      <c r="U115" s="2"/>
      <c r="V115" s="2"/>
      <c r="W115" s="2"/>
      <c r="X115" s="2"/>
      <c r="Y115" s="2"/>
      <c r="Z115" s="2"/>
    </row>
    <row r="116" ht="15.75" customHeight="1">
      <c r="A116" s="1"/>
      <c r="B116" s="1"/>
      <c r="C116" s="1"/>
      <c r="D116" s="1"/>
      <c r="E116" s="1"/>
      <c r="F116" s="1"/>
      <c r="G116" s="2"/>
      <c r="H116" s="2"/>
      <c r="I116" s="2"/>
      <c r="J116" s="2"/>
      <c r="K116" s="2"/>
      <c r="L116" s="2"/>
      <c r="M116" s="2"/>
      <c r="N116" s="2"/>
      <c r="O116" s="2"/>
      <c r="P116" s="2"/>
      <c r="Q116" s="2"/>
      <c r="R116" s="2"/>
      <c r="S116" s="2"/>
      <c r="T116" s="2"/>
      <c r="U116" s="2"/>
      <c r="V116" s="2"/>
      <c r="W116" s="2"/>
      <c r="X116" s="2"/>
      <c r="Y116" s="2"/>
      <c r="Z116" s="2"/>
    </row>
    <row r="117" ht="15.75" customHeight="1">
      <c r="A117" s="1"/>
      <c r="B117" s="1"/>
      <c r="C117" s="1"/>
      <c r="D117" s="1"/>
      <c r="E117" s="1"/>
      <c r="F117" s="1"/>
      <c r="G117" s="2"/>
      <c r="H117" s="2"/>
      <c r="I117" s="2"/>
      <c r="J117" s="2"/>
      <c r="K117" s="2"/>
      <c r="L117" s="2"/>
      <c r="M117" s="2"/>
      <c r="N117" s="2"/>
      <c r="O117" s="2"/>
      <c r="P117" s="2"/>
      <c r="Q117" s="2"/>
      <c r="R117" s="2"/>
      <c r="S117" s="2"/>
      <c r="T117" s="2"/>
      <c r="U117" s="2"/>
      <c r="V117" s="2"/>
      <c r="W117" s="2"/>
      <c r="X117" s="2"/>
      <c r="Y117" s="2"/>
      <c r="Z117" s="2"/>
    </row>
    <row r="118" ht="15.75" customHeight="1">
      <c r="A118" s="1"/>
      <c r="B118" s="1"/>
      <c r="C118" s="1"/>
      <c r="D118" s="1"/>
      <c r="E118" s="1"/>
      <c r="F118" s="1"/>
      <c r="G118" s="2"/>
      <c r="H118" s="2"/>
      <c r="I118" s="2"/>
      <c r="J118" s="2"/>
      <c r="K118" s="2"/>
      <c r="L118" s="2"/>
      <c r="M118" s="2"/>
      <c r="N118" s="2"/>
      <c r="O118" s="2"/>
      <c r="P118" s="2"/>
      <c r="Q118" s="2"/>
      <c r="R118" s="2"/>
      <c r="S118" s="2"/>
      <c r="T118" s="2"/>
      <c r="U118" s="2"/>
      <c r="V118" s="2"/>
      <c r="W118" s="2"/>
      <c r="X118" s="2"/>
      <c r="Y118" s="2"/>
      <c r="Z118" s="2"/>
    </row>
    <row r="119" ht="15.75" customHeight="1">
      <c r="A119" s="1"/>
      <c r="B119" s="1"/>
      <c r="C119" s="1"/>
      <c r="D119" s="1"/>
      <c r="E119" s="1"/>
      <c r="F119" s="1"/>
      <c r="G119" s="2"/>
      <c r="H119" s="2"/>
      <c r="I119" s="2"/>
      <c r="J119" s="2"/>
      <c r="K119" s="2"/>
      <c r="L119" s="2"/>
      <c r="M119" s="2"/>
      <c r="N119" s="2"/>
      <c r="O119" s="2"/>
      <c r="P119" s="2"/>
      <c r="Q119" s="2"/>
      <c r="R119" s="2"/>
      <c r="S119" s="2"/>
      <c r="T119" s="2"/>
      <c r="U119" s="2"/>
      <c r="V119" s="2"/>
      <c r="W119" s="2"/>
      <c r="X119" s="2"/>
      <c r="Y119" s="2"/>
      <c r="Z119" s="2"/>
    </row>
    <row r="120" ht="15.75" customHeight="1">
      <c r="A120" s="1"/>
      <c r="B120" s="1"/>
      <c r="C120" s="1"/>
      <c r="D120" s="1"/>
      <c r="E120" s="1"/>
      <c r="F120" s="1"/>
      <c r="G120" s="2"/>
      <c r="H120" s="2"/>
      <c r="I120" s="2"/>
      <c r="J120" s="2"/>
      <c r="K120" s="2"/>
      <c r="L120" s="2"/>
      <c r="M120" s="2"/>
      <c r="N120" s="2"/>
      <c r="O120" s="2"/>
      <c r="P120" s="2"/>
      <c r="Q120" s="2"/>
      <c r="R120" s="2"/>
      <c r="S120" s="2"/>
      <c r="T120" s="2"/>
      <c r="U120" s="2"/>
      <c r="V120" s="2"/>
      <c r="W120" s="2"/>
      <c r="X120" s="2"/>
      <c r="Y120" s="2"/>
      <c r="Z120" s="2"/>
    </row>
    <row r="121" ht="15.75" customHeight="1">
      <c r="A121" s="1"/>
      <c r="B121" s="1"/>
      <c r="C121" s="1"/>
      <c r="D121" s="1"/>
      <c r="E121" s="1"/>
      <c r="F121" s="1"/>
      <c r="G121" s="2"/>
      <c r="H121" s="2"/>
      <c r="I121" s="2"/>
      <c r="J121" s="2"/>
      <c r="K121" s="2"/>
      <c r="L121" s="2"/>
      <c r="M121" s="2"/>
      <c r="N121" s="2"/>
      <c r="O121" s="2"/>
      <c r="P121" s="2"/>
      <c r="Q121" s="2"/>
      <c r="R121" s="2"/>
      <c r="S121" s="2"/>
      <c r="T121" s="2"/>
      <c r="U121" s="2"/>
      <c r="V121" s="2"/>
      <c r="W121" s="2"/>
      <c r="X121" s="2"/>
      <c r="Y121" s="2"/>
      <c r="Z121" s="2"/>
    </row>
    <row r="122" ht="15.75" customHeight="1">
      <c r="A122" s="1"/>
      <c r="B122" s="1"/>
      <c r="C122" s="1"/>
      <c r="D122" s="1"/>
      <c r="E122" s="1"/>
      <c r="F122" s="1"/>
      <c r="G122" s="2"/>
      <c r="H122" s="2"/>
      <c r="I122" s="2"/>
      <c r="J122" s="2"/>
      <c r="K122" s="2"/>
      <c r="L122" s="2"/>
      <c r="M122" s="2"/>
      <c r="N122" s="2"/>
      <c r="O122" s="2"/>
      <c r="P122" s="2"/>
      <c r="Q122" s="2"/>
      <c r="R122" s="2"/>
      <c r="S122" s="2"/>
      <c r="T122" s="2"/>
      <c r="U122" s="2"/>
      <c r="V122" s="2"/>
      <c r="W122" s="2"/>
      <c r="X122" s="2"/>
      <c r="Y122" s="2"/>
      <c r="Z122" s="2"/>
    </row>
    <row r="123" ht="15.75" customHeight="1">
      <c r="A123" s="1"/>
      <c r="B123" s="1"/>
      <c r="C123" s="1"/>
      <c r="D123" s="1"/>
      <c r="E123" s="1"/>
      <c r="F123" s="1"/>
      <c r="G123" s="2"/>
      <c r="H123" s="2"/>
      <c r="I123" s="2"/>
      <c r="J123" s="2"/>
      <c r="K123" s="2"/>
      <c r="L123" s="2"/>
      <c r="M123" s="2"/>
      <c r="N123" s="2"/>
      <c r="O123" s="2"/>
      <c r="P123" s="2"/>
      <c r="Q123" s="2"/>
      <c r="R123" s="2"/>
      <c r="S123" s="2"/>
      <c r="T123" s="2"/>
      <c r="U123" s="2"/>
      <c r="V123" s="2"/>
      <c r="W123" s="2"/>
      <c r="X123" s="2"/>
      <c r="Y123" s="2"/>
      <c r="Z123" s="2"/>
    </row>
    <row r="124" ht="15.75" customHeight="1">
      <c r="A124" s="1"/>
      <c r="B124" s="1"/>
      <c r="C124" s="1"/>
      <c r="D124" s="1"/>
      <c r="E124" s="1"/>
      <c r="F124" s="1"/>
      <c r="G124" s="2"/>
      <c r="H124" s="2"/>
      <c r="I124" s="2"/>
      <c r="J124" s="2"/>
      <c r="K124" s="2"/>
      <c r="L124" s="2"/>
      <c r="M124" s="2"/>
      <c r="N124" s="2"/>
      <c r="O124" s="2"/>
      <c r="P124" s="2"/>
      <c r="Q124" s="2"/>
      <c r="R124" s="2"/>
      <c r="S124" s="2"/>
      <c r="T124" s="2"/>
      <c r="U124" s="2"/>
      <c r="V124" s="2"/>
      <c r="W124" s="2"/>
      <c r="X124" s="2"/>
      <c r="Y124" s="2"/>
      <c r="Z124" s="2"/>
    </row>
    <row r="125" ht="15.75" customHeight="1">
      <c r="A125" s="1"/>
      <c r="B125" s="1"/>
      <c r="C125" s="1"/>
      <c r="D125" s="1"/>
      <c r="E125" s="1"/>
      <c r="F125" s="1"/>
      <c r="G125" s="2"/>
      <c r="H125" s="2"/>
      <c r="I125" s="2"/>
      <c r="J125" s="2"/>
      <c r="K125" s="2"/>
      <c r="L125" s="2"/>
      <c r="M125" s="2"/>
      <c r="N125" s="2"/>
      <c r="O125" s="2"/>
      <c r="P125" s="2"/>
      <c r="Q125" s="2"/>
      <c r="R125" s="2"/>
      <c r="S125" s="2"/>
      <c r="T125" s="2"/>
      <c r="U125" s="2"/>
      <c r="V125" s="2"/>
      <c r="W125" s="2"/>
      <c r="X125" s="2"/>
      <c r="Y125" s="2"/>
      <c r="Z125" s="2"/>
    </row>
    <row r="126" ht="15.75" customHeight="1">
      <c r="A126" s="1"/>
      <c r="B126" s="1"/>
      <c r="C126" s="1"/>
      <c r="D126" s="1"/>
      <c r="E126" s="1"/>
      <c r="F126" s="1"/>
      <c r="G126" s="2"/>
      <c r="H126" s="2"/>
      <c r="I126" s="2"/>
      <c r="J126" s="2"/>
      <c r="K126" s="2"/>
      <c r="L126" s="2"/>
      <c r="M126" s="2"/>
      <c r="N126" s="2"/>
      <c r="O126" s="2"/>
      <c r="P126" s="2"/>
      <c r="Q126" s="2"/>
      <c r="R126" s="2"/>
      <c r="S126" s="2"/>
      <c r="T126" s="2"/>
      <c r="U126" s="2"/>
      <c r="V126" s="2"/>
      <c r="W126" s="2"/>
      <c r="X126" s="2"/>
      <c r="Y126" s="2"/>
      <c r="Z126" s="2"/>
    </row>
    <row r="127" ht="15.75" customHeight="1">
      <c r="A127" s="1"/>
      <c r="B127" s="1"/>
      <c r="C127" s="1"/>
      <c r="D127" s="1"/>
      <c r="E127" s="1"/>
      <c r="F127" s="1"/>
      <c r="G127" s="2"/>
      <c r="H127" s="2"/>
      <c r="I127" s="2"/>
      <c r="J127" s="2"/>
      <c r="K127" s="2"/>
      <c r="L127" s="2"/>
      <c r="M127" s="2"/>
      <c r="N127" s="2"/>
      <c r="O127" s="2"/>
      <c r="P127" s="2"/>
      <c r="Q127" s="2"/>
      <c r="R127" s="2"/>
      <c r="S127" s="2"/>
      <c r="T127" s="2"/>
      <c r="U127" s="2"/>
      <c r="V127" s="2"/>
      <c r="W127" s="2"/>
      <c r="X127" s="2"/>
      <c r="Y127" s="2"/>
      <c r="Z127" s="2"/>
    </row>
    <row r="128" ht="15.75" customHeight="1">
      <c r="A128" s="1"/>
      <c r="B128" s="1"/>
      <c r="C128" s="1"/>
      <c r="D128" s="1"/>
      <c r="E128" s="1"/>
      <c r="F128" s="1"/>
      <c r="G128" s="2"/>
      <c r="H128" s="2"/>
      <c r="I128" s="2"/>
      <c r="J128" s="2"/>
      <c r="K128" s="2"/>
      <c r="L128" s="2"/>
      <c r="M128" s="2"/>
      <c r="N128" s="2"/>
      <c r="O128" s="2"/>
      <c r="P128" s="2"/>
      <c r="Q128" s="2"/>
      <c r="R128" s="2"/>
      <c r="S128" s="2"/>
      <c r="T128" s="2"/>
      <c r="U128" s="2"/>
      <c r="V128" s="2"/>
      <c r="W128" s="2"/>
      <c r="X128" s="2"/>
      <c r="Y128" s="2"/>
      <c r="Z128" s="2"/>
    </row>
    <row r="129" ht="15.75" customHeight="1">
      <c r="A129" s="1"/>
      <c r="B129" s="1"/>
      <c r="C129" s="1"/>
      <c r="D129" s="1"/>
      <c r="E129" s="1"/>
      <c r="F129" s="1"/>
      <c r="G129" s="2"/>
      <c r="H129" s="2"/>
      <c r="I129" s="2"/>
      <c r="J129" s="2"/>
      <c r="K129" s="2"/>
      <c r="L129" s="2"/>
      <c r="M129" s="2"/>
      <c r="N129" s="2"/>
      <c r="O129" s="2"/>
      <c r="P129" s="2"/>
      <c r="Q129" s="2"/>
      <c r="R129" s="2"/>
      <c r="S129" s="2"/>
      <c r="T129" s="2"/>
      <c r="U129" s="2"/>
      <c r="V129" s="2"/>
      <c r="W129" s="2"/>
      <c r="X129" s="2"/>
      <c r="Y129" s="2"/>
      <c r="Z129" s="2"/>
    </row>
    <row r="130" ht="15.75" customHeight="1">
      <c r="A130" s="1"/>
      <c r="B130" s="1"/>
      <c r="C130" s="1"/>
      <c r="D130" s="1"/>
      <c r="E130" s="1"/>
      <c r="F130" s="1"/>
      <c r="G130" s="2"/>
      <c r="H130" s="2"/>
      <c r="I130" s="2"/>
      <c r="J130" s="2"/>
      <c r="K130" s="2"/>
      <c r="L130" s="2"/>
      <c r="M130" s="2"/>
      <c r="N130" s="2"/>
      <c r="O130" s="2"/>
      <c r="P130" s="2"/>
      <c r="Q130" s="2"/>
      <c r="R130" s="2"/>
      <c r="S130" s="2"/>
      <c r="T130" s="2"/>
      <c r="U130" s="2"/>
      <c r="V130" s="2"/>
      <c r="W130" s="2"/>
      <c r="X130" s="2"/>
      <c r="Y130" s="2"/>
      <c r="Z130" s="2"/>
    </row>
    <row r="131" ht="15.75" customHeight="1">
      <c r="A131" s="1"/>
      <c r="B131" s="1"/>
      <c r="C131" s="1"/>
      <c r="D131" s="1"/>
      <c r="E131" s="1"/>
      <c r="F131" s="1"/>
      <c r="G131" s="2"/>
      <c r="H131" s="2"/>
      <c r="I131" s="2"/>
      <c r="J131" s="2"/>
      <c r="K131" s="2"/>
      <c r="L131" s="2"/>
      <c r="M131" s="2"/>
      <c r="N131" s="2"/>
      <c r="O131" s="2"/>
      <c r="P131" s="2"/>
      <c r="Q131" s="2"/>
      <c r="R131" s="2"/>
      <c r="S131" s="2"/>
      <c r="T131" s="2"/>
      <c r="U131" s="2"/>
      <c r="V131" s="2"/>
      <c r="W131" s="2"/>
      <c r="X131" s="2"/>
      <c r="Y131" s="2"/>
      <c r="Z131" s="2"/>
    </row>
    <row r="132" ht="15.75" customHeight="1">
      <c r="A132" s="1"/>
      <c r="B132" s="1"/>
      <c r="C132" s="1"/>
      <c r="D132" s="1"/>
      <c r="E132" s="1"/>
      <c r="F132" s="1"/>
      <c r="G132" s="2"/>
      <c r="H132" s="2"/>
      <c r="I132" s="2"/>
      <c r="J132" s="2"/>
      <c r="K132" s="2"/>
      <c r="L132" s="2"/>
      <c r="M132" s="2"/>
      <c r="N132" s="2"/>
      <c r="O132" s="2"/>
      <c r="P132" s="2"/>
      <c r="Q132" s="2"/>
      <c r="R132" s="2"/>
      <c r="S132" s="2"/>
      <c r="T132" s="2"/>
      <c r="U132" s="2"/>
      <c r="V132" s="2"/>
      <c r="W132" s="2"/>
      <c r="X132" s="2"/>
      <c r="Y132" s="2"/>
      <c r="Z132" s="2"/>
    </row>
    <row r="133" ht="15.75" customHeight="1">
      <c r="A133" s="1"/>
      <c r="B133" s="1"/>
      <c r="C133" s="1"/>
      <c r="D133" s="1"/>
      <c r="E133" s="1"/>
      <c r="F133" s="1"/>
      <c r="G133" s="2"/>
      <c r="H133" s="2"/>
      <c r="I133" s="2"/>
      <c r="J133" s="2"/>
      <c r="K133" s="2"/>
      <c r="L133" s="2"/>
      <c r="M133" s="2"/>
      <c r="N133" s="2"/>
      <c r="O133" s="2"/>
      <c r="P133" s="2"/>
      <c r="Q133" s="2"/>
      <c r="R133" s="2"/>
      <c r="S133" s="2"/>
      <c r="T133" s="2"/>
      <c r="U133" s="2"/>
      <c r="V133" s="2"/>
      <c r="W133" s="2"/>
      <c r="X133" s="2"/>
      <c r="Y133" s="2"/>
      <c r="Z133" s="2"/>
    </row>
    <row r="134" ht="15.75" customHeight="1">
      <c r="A134" s="1"/>
      <c r="B134" s="1"/>
      <c r="C134" s="1"/>
      <c r="D134" s="1"/>
      <c r="E134" s="1"/>
      <c r="F134" s="1"/>
      <c r="G134" s="2"/>
      <c r="H134" s="2"/>
      <c r="I134" s="2"/>
      <c r="J134" s="2"/>
      <c r="K134" s="2"/>
      <c r="L134" s="2"/>
      <c r="M134" s="2"/>
      <c r="N134" s="2"/>
      <c r="O134" s="2"/>
      <c r="P134" s="2"/>
      <c r="Q134" s="2"/>
      <c r="R134" s="2"/>
      <c r="S134" s="2"/>
      <c r="T134" s="2"/>
      <c r="U134" s="2"/>
      <c r="V134" s="2"/>
      <c r="W134" s="2"/>
      <c r="X134" s="2"/>
      <c r="Y134" s="2"/>
      <c r="Z134" s="2"/>
    </row>
    <row r="135" ht="15.75" customHeight="1">
      <c r="A135" s="1"/>
      <c r="B135" s="1"/>
      <c r="C135" s="1"/>
      <c r="D135" s="1"/>
      <c r="E135" s="1"/>
      <c r="F135" s="1"/>
      <c r="G135" s="2"/>
      <c r="H135" s="2"/>
      <c r="I135" s="2"/>
      <c r="J135" s="2"/>
      <c r="K135" s="2"/>
      <c r="L135" s="2"/>
      <c r="M135" s="2"/>
      <c r="N135" s="2"/>
      <c r="O135" s="2"/>
      <c r="P135" s="2"/>
      <c r="Q135" s="2"/>
      <c r="R135" s="2"/>
      <c r="S135" s="2"/>
      <c r="T135" s="2"/>
      <c r="U135" s="2"/>
      <c r="V135" s="2"/>
      <c r="W135" s="2"/>
      <c r="X135" s="2"/>
      <c r="Y135" s="2"/>
      <c r="Z135" s="2"/>
    </row>
    <row r="136" ht="15.75" customHeight="1">
      <c r="A136" s="1"/>
      <c r="B136" s="1"/>
      <c r="C136" s="1"/>
      <c r="D136" s="1"/>
      <c r="E136" s="1"/>
      <c r="F136" s="1"/>
      <c r="G136" s="2"/>
      <c r="H136" s="2"/>
      <c r="I136" s="2"/>
      <c r="J136" s="2"/>
      <c r="K136" s="2"/>
      <c r="L136" s="2"/>
      <c r="M136" s="2"/>
      <c r="N136" s="2"/>
      <c r="O136" s="2"/>
      <c r="P136" s="2"/>
      <c r="Q136" s="2"/>
      <c r="R136" s="2"/>
      <c r="S136" s="2"/>
      <c r="T136" s="2"/>
      <c r="U136" s="2"/>
      <c r="V136" s="2"/>
      <c r="W136" s="2"/>
      <c r="X136" s="2"/>
      <c r="Y136" s="2"/>
      <c r="Z136" s="2"/>
    </row>
    <row r="137" ht="15.75" customHeight="1">
      <c r="A137" s="1"/>
      <c r="B137" s="1"/>
      <c r="C137" s="1"/>
      <c r="D137" s="1"/>
      <c r="E137" s="1"/>
      <c r="F137" s="1"/>
      <c r="G137" s="2"/>
      <c r="H137" s="2"/>
      <c r="I137" s="2"/>
      <c r="J137" s="2"/>
      <c r="K137" s="2"/>
      <c r="L137" s="2"/>
      <c r="M137" s="2"/>
      <c r="N137" s="2"/>
      <c r="O137" s="2"/>
      <c r="P137" s="2"/>
      <c r="Q137" s="2"/>
      <c r="R137" s="2"/>
      <c r="S137" s="2"/>
      <c r="T137" s="2"/>
      <c r="U137" s="2"/>
      <c r="V137" s="2"/>
      <c r="W137" s="2"/>
      <c r="X137" s="2"/>
      <c r="Y137" s="2"/>
      <c r="Z137" s="2"/>
    </row>
    <row r="138" ht="15.75" customHeight="1">
      <c r="A138" s="1"/>
      <c r="B138" s="1"/>
      <c r="C138" s="1"/>
      <c r="D138" s="1"/>
      <c r="E138" s="1"/>
      <c r="F138" s="1"/>
      <c r="G138" s="2"/>
      <c r="H138" s="2"/>
      <c r="I138" s="2"/>
      <c r="J138" s="2"/>
      <c r="K138" s="2"/>
      <c r="L138" s="2"/>
      <c r="M138" s="2"/>
      <c r="N138" s="2"/>
      <c r="O138" s="2"/>
      <c r="P138" s="2"/>
      <c r="Q138" s="2"/>
      <c r="R138" s="2"/>
      <c r="S138" s="2"/>
      <c r="T138" s="2"/>
      <c r="U138" s="2"/>
      <c r="V138" s="2"/>
      <c r="W138" s="2"/>
      <c r="X138" s="2"/>
      <c r="Y138" s="2"/>
      <c r="Z138" s="2"/>
    </row>
    <row r="139" ht="15.75" customHeight="1">
      <c r="A139" s="1"/>
      <c r="B139" s="1"/>
      <c r="C139" s="1"/>
      <c r="D139" s="1"/>
      <c r="E139" s="1"/>
      <c r="F139" s="1"/>
      <c r="G139" s="2"/>
      <c r="H139" s="2"/>
      <c r="I139" s="2"/>
      <c r="J139" s="2"/>
      <c r="K139" s="2"/>
      <c r="L139" s="2"/>
      <c r="M139" s="2"/>
      <c r="N139" s="2"/>
      <c r="O139" s="2"/>
      <c r="P139" s="2"/>
      <c r="Q139" s="2"/>
      <c r="R139" s="2"/>
      <c r="S139" s="2"/>
      <c r="T139" s="2"/>
      <c r="U139" s="2"/>
      <c r="V139" s="2"/>
      <c r="W139" s="2"/>
      <c r="X139" s="2"/>
      <c r="Y139" s="2"/>
      <c r="Z139" s="2"/>
    </row>
    <row r="140" ht="15.75" customHeight="1">
      <c r="A140" s="1"/>
      <c r="B140" s="1"/>
      <c r="C140" s="1"/>
      <c r="D140" s="1"/>
      <c r="E140" s="1"/>
      <c r="F140" s="1"/>
      <c r="G140" s="2"/>
      <c r="H140" s="2"/>
      <c r="I140" s="2"/>
      <c r="J140" s="2"/>
      <c r="K140" s="2"/>
      <c r="L140" s="2"/>
      <c r="M140" s="2"/>
      <c r="N140" s="2"/>
      <c r="O140" s="2"/>
      <c r="P140" s="2"/>
      <c r="Q140" s="2"/>
      <c r="R140" s="2"/>
      <c r="S140" s="2"/>
      <c r="T140" s="2"/>
      <c r="U140" s="2"/>
      <c r="V140" s="2"/>
      <c r="W140" s="2"/>
      <c r="X140" s="2"/>
      <c r="Y140" s="2"/>
      <c r="Z140" s="2"/>
    </row>
    <row r="141" ht="15.75" customHeight="1">
      <c r="A141" s="1"/>
      <c r="B141" s="1"/>
      <c r="C141" s="1"/>
      <c r="D141" s="1"/>
      <c r="E141" s="1"/>
      <c r="F141" s="1"/>
      <c r="G141" s="2"/>
      <c r="H141" s="2"/>
      <c r="I141" s="2"/>
      <c r="J141" s="2"/>
      <c r="K141" s="2"/>
      <c r="L141" s="2"/>
      <c r="M141" s="2"/>
      <c r="N141" s="2"/>
      <c r="O141" s="2"/>
      <c r="P141" s="2"/>
      <c r="Q141" s="2"/>
      <c r="R141" s="2"/>
      <c r="S141" s="2"/>
      <c r="T141" s="2"/>
      <c r="U141" s="2"/>
      <c r="V141" s="2"/>
      <c r="W141" s="2"/>
      <c r="X141" s="2"/>
      <c r="Y141" s="2"/>
      <c r="Z141" s="2"/>
    </row>
    <row r="142" ht="15.75" customHeight="1">
      <c r="A142" s="1"/>
      <c r="B142" s="1"/>
      <c r="C142" s="1"/>
      <c r="D142" s="1"/>
      <c r="E142" s="1"/>
      <c r="F142" s="1"/>
      <c r="G142" s="2"/>
      <c r="H142" s="2"/>
      <c r="I142" s="2"/>
      <c r="J142" s="2"/>
      <c r="K142" s="2"/>
      <c r="L142" s="2"/>
      <c r="M142" s="2"/>
      <c r="N142" s="2"/>
      <c r="O142" s="2"/>
      <c r="P142" s="2"/>
      <c r="Q142" s="2"/>
      <c r="R142" s="2"/>
      <c r="S142" s="2"/>
      <c r="T142" s="2"/>
      <c r="U142" s="2"/>
      <c r="V142" s="2"/>
      <c r="W142" s="2"/>
      <c r="X142" s="2"/>
      <c r="Y142" s="2"/>
      <c r="Z142" s="2"/>
    </row>
    <row r="143" ht="15.75" customHeight="1">
      <c r="A143" s="1"/>
      <c r="B143" s="1"/>
      <c r="C143" s="1"/>
      <c r="D143" s="1"/>
      <c r="E143" s="1"/>
      <c r="F143" s="1"/>
      <c r="G143" s="2"/>
      <c r="H143" s="2"/>
      <c r="I143" s="2"/>
      <c r="J143" s="2"/>
      <c r="K143" s="2"/>
      <c r="L143" s="2"/>
      <c r="M143" s="2"/>
      <c r="N143" s="2"/>
      <c r="O143" s="2"/>
      <c r="P143" s="2"/>
      <c r="Q143" s="2"/>
      <c r="R143" s="2"/>
      <c r="S143" s="2"/>
      <c r="T143" s="2"/>
      <c r="U143" s="2"/>
      <c r="V143" s="2"/>
      <c r="W143" s="2"/>
      <c r="X143" s="2"/>
      <c r="Y143" s="2"/>
      <c r="Z143" s="2"/>
    </row>
    <row r="144" ht="15.75" customHeight="1">
      <c r="A144" s="1"/>
      <c r="B144" s="1"/>
      <c r="C144" s="1"/>
      <c r="D144" s="1"/>
      <c r="E144" s="1"/>
      <c r="F144" s="1"/>
      <c r="G144" s="2"/>
      <c r="H144" s="2"/>
      <c r="I144" s="2"/>
      <c r="J144" s="2"/>
      <c r="K144" s="2"/>
      <c r="L144" s="2"/>
      <c r="M144" s="2"/>
      <c r="N144" s="2"/>
      <c r="O144" s="2"/>
      <c r="P144" s="2"/>
      <c r="Q144" s="2"/>
      <c r="R144" s="2"/>
      <c r="S144" s="2"/>
      <c r="T144" s="2"/>
      <c r="U144" s="2"/>
      <c r="V144" s="2"/>
      <c r="W144" s="2"/>
      <c r="X144" s="2"/>
      <c r="Y144" s="2"/>
      <c r="Z144" s="2"/>
    </row>
    <row r="145" ht="15.75" customHeight="1">
      <c r="A145" s="1"/>
      <c r="B145" s="1"/>
      <c r="C145" s="1"/>
      <c r="D145" s="1"/>
      <c r="E145" s="1"/>
      <c r="F145" s="1"/>
      <c r="G145" s="2"/>
      <c r="H145" s="2"/>
      <c r="I145" s="2"/>
      <c r="J145" s="2"/>
      <c r="K145" s="2"/>
      <c r="L145" s="2"/>
      <c r="M145" s="2"/>
      <c r="N145" s="2"/>
      <c r="O145" s="2"/>
      <c r="P145" s="2"/>
      <c r="Q145" s="2"/>
      <c r="R145" s="2"/>
      <c r="S145" s="2"/>
      <c r="T145" s="2"/>
      <c r="U145" s="2"/>
      <c r="V145" s="2"/>
      <c r="W145" s="2"/>
      <c r="X145" s="2"/>
      <c r="Y145" s="2"/>
      <c r="Z145" s="2"/>
    </row>
    <row r="146" ht="15.75" customHeight="1">
      <c r="A146" s="1"/>
      <c r="B146" s="1"/>
      <c r="C146" s="1"/>
      <c r="D146" s="1"/>
      <c r="E146" s="1"/>
      <c r="F146" s="1"/>
      <c r="G146" s="2"/>
      <c r="H146" s="2"/>
      <c r="I146" s="2"/>
      <c r="J146" s="2"/>
      <c r="K146" s="2"/>
      <c r="L146" s="2"/>
      <c r="M146" s="2"/>
      <c r="N146" s="2"/>
      <c r="O146" s="2"/>
      <c r="P146" s="2"/>
      <c r="Q146" s="2"/>
      <c r="R146" s="2"/>
      <c r="S146" s="2"/>
      <c r="T146" s="2"/>
      <c r="U146" s="2"/>
      <c r="V146" s="2"/>
      <c r="W146" s="2"/>
      <c r="X146" s="2"/>
      <c r="Y146" s="2"/>
      <c r="Z146" s="2"/>
    </row>
    <row r="147" ht="15.75" customHeight="1">
      <c r="A147" s="1"/>
      <c r="B147" s="1"/>
      <c r="C147" s="1"/>
      <c r="D147" s="1"/>
      <c r="E147" s="1"/>
      <c r="F147" s="1"/>
      <c r="G147" s="2"/>
      <c r="H147" s="2"/>
      <c r="I147" s="2"/>
      <c r="J147" s="2"/>
      <c r="K147" s="2"/>
      <c r="L147" s="2"/>
      <c r="M147" s="2"/>
      <c r="N147" s="2"/>
      <c r="O147" s="2"/>
      <c r="P147" s="2"/>
      <c r="Q147" s="2"/>
      <c r="R147" s="2"/>
      <c r="S147" s="2"/>
      <c r="T147" s="2"/>
      <c r="U147" s="2"/>
      <c r="V147" s="2"/>
      <c r="W147" s="2"/>
      <c r="X147" s="2"/>
      <c r="Y147" s="2"/>
      <c r="Z147" s="2"/>
    </row>
    <row r="148" ht="15.75" customHeight="1">
      <c r="A148" s="1"/>
      <c r="B148" s="1"/>
      <c r="C148" s="1"/>
      <c r="D148" s="1"/>
      <c r="E148" s="1"/>
      <c r="F148" s="1"/>
      <c r="G148" s="2"/>
      <c r="H148" s="2"/>
      <c r="I148" s="2"/>
      <c r="J148" s="2"/>
      <c r="K148" s="2"/>
      <c r="L148" s="2"/>
      <c r="M148" s="2"/>
      <c r="N148" s="2"/>
      <c r="O148" s="2"/>
      <c r="P148" s="2"/>
      <c r="Q148" s="2"/>
      <c r="R148" s="2"/>
      <c r="S148" s="2"/>
      <c r="T148" s="2"/>
      <c r="U148" s="2"/>
      <c r="V148" s="2"/>
      <c r="W148" s="2"/>
      <c r="X148" s="2"/>
      <c r="Y148" s="2"/>
      <c r="Z148" s="2"/>
    </row>
    <row r="149" ht="15.75" customHeight="1">
      <c r="A149" s="1"/>
      <c r="B149" s="1"/>
      <c r="C149" s="1"/>
      <c r="D149" s="1"/>
      <c r="E149" s="1"/>
      <c r="F149" s="1"/>
      <c r="G149" s="2"/>
      <c r="H149" s="2"/>
      <c r="I149" s="2"/>
      <c r="J149" s="2"/>
      <c r="K149" s="2"/>
      <c r="L149" s="2"/>
      <c r="M149" s="2"/>
      <c r="N149" s="2"/>
      <c r="O149" s="2"/>
      <c r="P149" s="2"/>
      <c r="Q149" s="2"/>
      <c r="R149" s="2"/>
      <c r="S149" s="2"/>
      <c r="T149" s="2"/>
      <c r="U149" s="2"/>
      <c r="V149" s="2"/>
      <c r="W149" s="2"/>
      <c r="X149" s="2"/>
      <c r="Y149" s="2"/>
      <c r="Z149" s="2"/>
    </row>
    <row r="150" ht="15.75" customHeight="1">
      <c r="A150" s="1"/>
      <c r="B150" s="1"/>
      <c r="C150" s="1"/>
      <c r="D150" s="1"/>
      <c r="E150" s="1"/>
      <c r="F150" s="1"/>
      <c r="G150" s="2"/>
      <c r="H150" s="2"/>
      <c r="I150" s="2"/>
      <c r="J150" s="2"/>
      <c r="K150" s="2"/>
      <c r="L150" s="2"/>
      <c r="M150" s="2"/>
      <c r="N150" s="2"/>
      <c r="O150" s="2"/>
      <c r="P150" s="2"/>
      <c r="Q150" s="2"/>
      <c r="R150" s="2"/>
      <c r="S150" s="2"/>
      <c r="T150" s="2"/>
      <c r="U150" s="2"/>
      <c r="V150" s="2"/>
      <c r="W150" s="2"/>
      <c r="X150" s="2"/>
      <c r="Y150" s="2"/>
      <c r="Z150" s="2"/>
    </row>
    <row r="151" ht="15.75" customHeight="1">
      <c r="A151" s="1"/>
      <c r="B151" s="1"/>
      <c r="C151" s="1"/>
      <c r="D151" s="1"/>
      <c r="E151" s="1"/>
      <c r="F151" s="1"/>
      <c r="G151" s="2"/>
      <c r="H151" s="2"/>
      <c r="I151" s="2"/>
      <c r="J151" s="2"/>
      <c r="K151" s="2"/>
      <c r="L151" s="2"/>
      <c r="M151" s="2"/>
      <c r="N151" s="2"/>
      <c r="O151" s="2"/>
      <c r="P151" s="2"/>
      <c r="Q151" s="2"/>
      <c r="R151" s="2"/>
      <c r="S151" s="2"/>
      <c r="T151" s="2"/>
      <c r="U151" s="2"/>
      <c r="V151" s="2"/>
      <c r="W151" s="2"/>
      <c r="X151" s="2"/>
      <c r="Y151" s="2"/>
      <c r="Z151" s="2"/>
    </row>
    <row r="152" ht="15.75" customHeight="1">
      <c r="A152" s="1"/>
      <c r="B152" s="1"/>
      <c r="C152" s="1"/>
      <c r="D152" s="1"/>
      <c r="E152" s="1"/>
      <c r="F152" s="1"/>
      <c r="G152" s="2"/>
      <c r="H152" s="2"/>
      <c r="I152" s="2"/>
      <c r="J152" s="2"/>
      <c r="K152" s="2"/>
      <c r="L152" s="2"/>
      <c r="M152" s="2"/>
      <c r="N152" s="2"/>
      <c r="O152" s="2"/>
      <c r="P152" s="2"/>
      <c r="Q152" s="2"/>
      <c r="R152" s="2"/>
      <c r="S152" s="2"/>
      <c r="T152" s="2"/>
      <c r="U152" s="2"/>
      <c r="V152" s="2"/>
      <c r="W152" s="2"/>
      <c r="X152" s="2"/>
      <c r="Y152" s="2"/>
      <c r="Z152" s="2"/>
    </row>
    <row r="153" ht="15.75" customHeight="1">
      <c r="A153" s="1"/>
      <c r="B153" s="1"/>
      <c r="C153" s="1"/>
      <c r="D153" s="1"/>
      <c r="E153" s="1"/>
      <c r="F153" s="1"/>
      <c r="G153" s="2"/>
      <c r="H153" s="2"/>
      <c r="I153" s="2"/>
      <c r="J153" s="2"/>
      <c r="K153" s="2"/>
      <c r="L153" s="2"/>
      <c r="M153" s="2"/>
      <c r="N153" s="2"/>
      <c r="O153" s="2"/>
      <c r="P153" s="2"/>
      <c r="Q153" s="2"/>
      <c r="R153" s="2"/>
      <c r="S153" s="2"/>
      <c r="T153" s="2"/>
      <c r="U153" s="2"/>
      <c r="V153" s="2"/>
      <c r="W153" s="2"/>
      <c r="X153" s="2"/>
      <c r="Y153" s="2"/>
      <c r="Z153" s="2"/>
    </row>
    <row r="154" ht="15.75" customHeight="1">
      <c r="A154" s="1"/>
      <c r="B154" s="1"/>
      <c r="C154" s="1"/>
      <c r="D154" s="1"/>
      <c r="E154" s="1"/>
      <c r="F154" s="1"/>
      <c r="G154" s="2"/>
      <c r="H154" s="2"/>
      <c r="I154" s="2"/>
      <c r="J154" s="2"/>
      <c r="K154" s="2"/>
      <c r="L154" s="2"/>
      <c r="M154" s="2"/>
      <c r="N154" s="2"/>
      <c r="O154" s="2"/>
      <c r="P154" s="2"/>
      <c r="Q154" s="2"/>
      <c r="R154" s="2"/>
      <c r="S154" s="2"/>
      <c r="T154" s="2"/>
      <c r="U154" s="2"/>
      <c r="V154" s="2"/>
      <c r="W154" s="2"/>
      <c r="X154" s="2"/>
      <c r="Y154" s="2"/>
      <c r="Z154" s="2"/>
    </row>
    <row r="155" ht="15.75" customHeight="1">
      <c r="A155" s="1"/>
      <c r="B155" s="1"/>
      <c r="C155" s="1"/>
      <c r="D155" s="1"/>
      <c r="E155" s="1"/>
      <c r="F155" s="1"/>
      <c r="G155" s="2"/>
      <c r="H155" s="2"/>
      <c r="I155" s="2"/>
      <c r="J155" s="2"/>
      <c r="K155" s="2"/>
      <c r="L155" s="2"/>
      <c r="M155" s="2"/>
      <c r="N155" s="2"/>
      <c r="O155" s="2"/>
      <c r="P155" s="2"/>
      <c r="Q155" s="2"/>
      <c r="R155" s="2"/>
      <c r="S155" s="2"/>
      <c r="T155" s="2"/>
      <c r="U155" s="2"/>
      <c r="V155" s="2"/>
      <c r="W155" s="2"/>
      <c r="X155" s="2"/>
      <c r="Y155" s="2"/>
      <c r="Z155" s="2"/>
    </row>
    <row r="156" ht="15.75" customHeight="1">
      <c r="A156" s="1"/>
      <c r="B156" s="1"/>
      <c r="C156" s="1"/>
      <c r="D156" s="1"/>
      <c r="E156" s="1"/>
      <c r="F156" s="1"/>
      <c r="G156" s="2"/>
      <c r="H156" s="2"/>
      <c r="I156" s="2"/>
      <c r="J156" s="2"/>
      <c r="K156" s="2"/>
      <c r="L156" s="2"/>
      <c r="M156" s="2"/>
      <c r="N156" s="2"/>
      <c r="O156" s="2"/>
      <c r="P156" s="2"/>
      <c r="Q156" s="2"/>
      <c r="R156" s="2"/>
      <c r="S156" s="2"/>
      <c r="T156" s="2"/>
      <c r="U156" s="2"/>
      <c r="V156" s="2"/>
      <c r="W156" s="2"/>
      <c r="X156" s="2"/>
      <c r="Y156" s="2"/>
      <c r="Z156" s="2"/>
    </row>
    <row r="157" ht="15.75" customHeight="1">
      <c r="A157" s="1"/>
      <c r="B157" s="1"/>
      <c r="C157" s="1"/>
      <c r="D157" s="1"/>
      <c r="E157" s="1"/>
      <c r="F157" s="1"/>
      <c r="G157" s="2"/>
      <c r="H157" s="2"/>
      <c r="I157" s="2"/>
      <c r="J157" s="2"/>
      <c r="K157" s="2"/>
      <c r="L157" s="2"/>
      <c r="M157" s="2"/>
      <c r="N157" s="2"/>
      <c r="O157" s="2"/>
      <c r="P157" s="2"/>
      <c r="Q157" s="2"/>
      <c r="R157" s="2"/>
      <c r="S157" s="2"/>
      <c r="T157" s="2"/>
      <c r="U157" s="2"/>
      <c r="V157" s="2"/>
      <c r="W157" s="2"/>
      <c r="X157" s="2"/>
      <c r="Y157" s="2"/>
      <c r="Z157" s="2"/>
    </row>
    <row r="158" ht="15.75" customHeight="1">
      <c r="A158" s="1"/>
      <c r="B158" s="1"/>
      <c r="C158" s="1"/>
      <c r="D158" s="1"/>
      <c r="E158" s="1"/>
      <c r="F158" s="1"/>
      <c r="G158" s="2"/>
      <c r="H158" s="2"/>
      <c r="I158" s="2"/>
      <c r="J158" s="2"/>
      <c r="K158" s="2"/>
      <c r="L158" s="2"/>
      <c r="M158" s="2"/>
      <c r="N158" s="2"/>
      <c r="O158" s="2"/>
      <c r="P158" s="2"/>
      <c r="Q158" s="2"/>
      <c r="R158" s="2"/>
      <c r="S158" s="2"/>
      <c r="T158" s="2"/>
      <c r="U158" s="2"/>
      <c r="V158" s="2"/>
      <c r="W158" s="2"/>
      <c r="X158" s="2"/>
      <c r="Y158" s="2"/>
      <c r="Z158" s="2"/>
    </row>
    <row r="159" ht="15.75" customHeight="1">
      <c r="A159" s="1"/>
      <c r="B159" s="1"/>
      <c r="C159" s="1"/>
      <c r="D159" s="1"/>
      <c r="E159" s="1"/>
      <c r="F159" s="1"/>
      <c r="G159" s="2"/>
      <c r="H159" s="2"/>
      <c r="I159" s="2"/>
      <c r="J159" s="2"/>
      <c r="K159" s="2"/>
      <c r="L159" s="2"/>
      <c r="M159" s="2"/>
      <c r="N159" s="2"/>
      <c r="O159" s="2"/>
      <c r="P159" s="2"/>
      <c r="Q159" s="2"/>
      <c r="R159" s="2"/>
      <c r="S159" s="2"/>
      <c r="T159" s="2"/>
      <c r="U159" s="2"/>
      <c r="V159" s="2"/>
      <c r="W159" s="2"/>
      <c r="X159" s="2"/>
      <c r="Y159" s="2"/>
      <c r="Z159" s="2"/>
    </row>
    <row r="160" ht="15.75" customHeight="1">
      <c r="A160" s="1"/>
      <c r="B160" s="1"/>
      <c r="C160" s="1"/>
      <c r="D160" s="1"/>
      <c r="E160" s="1"/>
      <c r="F160" s="1"/>
      <c r="G160" s="2"/>
      <c r="H160" s="2"/>
      <c r="I160" s="2"/>
      <c r="J160" s="2"/>
      <c r="K160" s="2"/>
      <c r="L160" s="2"/>
      <c r="M160" s="2"/>
      <c r="N160" s="2"/>
      <c r="O160" s="2"/>
      <c r="P160" s="2"/>
      <c r="Q160" s="2"/>
      <c r="R160" s="2"/>
      <c r="S160" s="2"/>
      <c r="T160" s="2"/>
      <c r="U160" s="2"/>
      <c r="V160" s="2"/>
      <c r="W160" s="2"/>
      <c r="X160" s="2"/>
      <c r="Y160" s="2"/>
      <c r="Z160" s="2"/>
    </row>
    <row r="161" ht="15.75" customHeight="1">
      <c r="A161" s="1"/>
      <c r="B161" s="1"/>
      <c r="C161" s="1"/>
      <c r="D161" s="1"/>
      <c r="E161" s="1"/>
      <c r="F161" s="1"/>
      <c r="G161" s="2"/>
      <c r="H161" s="2"/>
      <c r="I161" s="2"/>
      <c r="J161" s="2"/>
      <c r="K161" s="2"/>
      <c r="L161" s="2"/>
      <c r="M161" s="2"/>
      <c r="N161" s="2"/>
      <c r="O161" s="2"/>
      <c r="P161" s="2"/>
      <c r="Q161" s="2"/>
      <c r="R161" s="2"/>
      <c r="S161" s="2"/>
      <c r="T161" s="2"/>
      <c r="U161" s="2"/>
      <c r="V161" s="2"/>
      <c r="W161" s="2"/>
      <c r="X161" s="2"/>
      <c r="Y161" s="2"/>
      <c r="Z161" s="2"/>
    </row>
    <row r="162" ht="15.75" customHeight="1">
      <c r="A162" s="1"/>
      <c r="B162" s="1"/>
      <c r="C162" s="1"/>
      <c r="D162" s="1"/>
      <c r="E162" s="1"/>
      <c r="F162" s="1"/>
      <c r="G162" s="2"/>
      <c r="H162" s="2"/>
      <c r="I162" s="2"/>
      <c r="J162" s="2"/>
      <c r="K162" s="2"/>
      <c r="L162" s="2"/>
      <c r="M162" s="2"/>
      <c r="N162" s="2"/>
      <c r="O162" s="2"/>
      <c r="P162" s="2"/>
      <c r="Q162" s="2"/>
      <c r="R162" s="2"/>
      <c r="S162" s="2"/>
      <c r="T162" s="2"/>
      <c r="U162" s="2"/>
      <c r="V162" s="2"/>
      <c r="W162" s="2"/>
      <c r="X162" s="2"/>
      <c r="Y162" s="2"/>
      <c r="Z162" s="2"/>
    </row>
    <row r="163" ht="15.75" customHeight="1">
      <c r="A163" s="1"/>
      <c r="B163" s="1"/>
      <c r="C163" s="1"/>
      <c r="D163" s="1"/>
      <c r="E163" s="1"/>
      <c r="F163" s="1"/>
      <c r="G163" s="2"/>
      <c r="H163" s="2"/>
      <c r="I163" s="2"/>
      <c r="J163" s="2"/>
      <c r="K163" s="2"/>
      <c r="L163" s="2"/>
      <c r="M163" s="2"/>
      <c r="N163" s="2"/>
      <c r="O163" s="2"/>
      <c r="P163" s="2"/>
      <c r="Q163" s="2"/>
      <c r="R163" s="2"/>
      <c r="S163" s="2"/>
      <c r="T163" s="2"/>
      <c r="U163" s="2"/>
      <c r="V163" s="2"/>
      <c r="W163" s="2"/>
      <c r="X163" s="2"/>
      <c r="Y163" s="2"/>
      <c r="Z163" s="2"/>
    </row>
    <row r="164" ht="15.75" customHeight="1">
      <c r="A164" s="1"/>
      <c r="B164" s="1"/>
      <c r="C164" s="1"/>
      <c r="D164" s="1"/>
      <c r="E164" s="1"/>
      <c r="F164" s="1"/>
      <c r="G164" s="2"/>
      <c r="H164" s="2"/>
      <c r="I164" s="2"/>
      <c r="J164" s="2"/>
      <c r="K164" s="2"/>
      <c r="L164" s="2"/>
      <c r="M164" s="2"/>
      <c r="N164" s="2"/>
      <c r="O164" s="2"/>
      <c r="P164" s="2"/>
      <c r="Q164" s="2"/>
      <c r="R164" s="2"/>
      <c r="S164" s="2"/>
      <c r="T164" s="2"/>
      <c r="U164" s="2"/>
      <c r="V164" s="2"/>
      <c r="W164" s="2"/>
      <c r="X164" s="2"/>
      <c r="Y164" s="2"/>
      <c r="Z164" s="2"/>
    </row>
    <row r="165" ht="15.75" customHeight="1">
      <c r="A165" s="1"/>
      <c r="B165" s="1"/>
      <c r="C165" s="1"/>
      <c r="D165" s="1"/>
      <c r="E165" s="1"/>
      <c r="F165" s="1"/>
      <c r="G165" s="2"/>
      <c r="H165" s="2"/>
      <c r="I165" s="2"/>
      <c r="J165" s="2"/>
      <c r="K165" s="2"/>
      <c r="L165" s="2"/>
      <c r="M165" s="2"/>
      <c r="N165" s="2"/>
      <c r="O165" s="2"/>
      <c r="P165" s="2"/>
      <c r="Q165" s="2"/>
      <c r="R165" s="2"/>
      <c r="S165" s="2"/>
      <c r="T165" s="2"/>
      <c r="U165" s="2"/>
      <c r="V165" s="2"/>
      <c r="W165" s="2"/>
      <c r="X165" s="2"/>
      <c r="Y165" s="2"/>
      <c r="Z165" s="2"/>
    </row>
    <row r="166" ht="15.75" customHeight="1">
      <c r="A166" s="1"/>
      <c r="B166" s="1"/>
      <c r="C166" s="1"/>
      <c r="D166" s="1"/>
      <c r="E166" s="1"/>
      <c r="F166" s="1"/>
      <c r="G166" s="2"/>
      <c r="H166" s="2"/>
      <c r="I166" s="2"/>
      <c r="J166" s="2"/>
      <c r="K166" s="2"/>
      <c r="L166" s="2"/>
      <c r="M166" s="2"/>
      <c r="N166" s="2"/>
      <c r="O166" s="2"/>
      <c r="P166" s="2"/>
      <c r="Q166" s="2"/>
      <c r="R166" s="2"/>
      <c r="S166" s="2"/>
      <c r="T166" s="2"/>
      <c r="U166" s="2"/>
      <c r="V166" s="2"/>
      <c r="W166" s="2"/>
      <c r="X166" s="2"/>
      <c r="Y166" s="2"/>
      <c r="Z166" s="2"/>
    </row>
    <row r="167" ht="15.75" customHeight="1">
      <c r="A167" s="1"/>
      <c r="B167" s="1"/>
      <c r="C167" s="1"/>
      <c r="D167" s="1"/>
      <c r="E167" s="1"/>
      <c r="F167" s="1"/>
      <c r="G167" s="2"/>
      <c r="H167" s="2"/>
      <c r="I167" s="2"/>
      <c r="J167" s="2"/>
      <c r="K167" s="2"/>
      <c r="L167" s="2"/>
      <c r="M167" s="2"/>
      <c r="N167" s="2"/>
      <c r="O167" s="2"/>
      <c r="P167" s="2"/>
      <c r="Q167" s="2"/>
      <c r="R167" s="2"/>
      <c r="S167" s="2"/>
      <c r="T167" s="2"/>
      <c r="U167" s="2"/>
      <c r="V167" s="2"/>
      <c r="W167" s="2"/>
      <c r="X167" s="2"/>
      <c r="Y167" s="2"/>
      <c r="Z167" s="2"/>
    </row>
    <row r="168" ht="15.75" customHeight="1">
      <c r="A168" s="1"/>
      <c r="B168" s="1"/>
      <c r="C168" s="1"/>
      <c r="D168" s="1"/>
      <c r="E168" s="1"/>
      <c r="F168" s="1"/>
      <c r="G168" s="2"/>
      <c r="H168" s="2"/>
      <c r="I168" s="2"/>
      <c r="J168" s="2"/>
      <c r="K168" s="2"/>
      <c r="L168" s="2"/>
      <c r="M168" s="2"/>
      <c r="N168" s="2"/>
      <c r="O168" s="2"/>
      <c r="P168" s="2"/>
      <c r="Q168" s="2"/>
      <c r="R168" s="2"/>
      <c r="S168" s="2"/>
      <c r="T168" s="2"/>
      <c r="U168" s="2"/>
      <c r="V168" s="2"/>
      <c r="W168" s="2"/>
      <c r="X168" s="2"/>
      <c r="Y168" s="2"/>
      <c r="Z168" s="2"/>
    </row>
    <row r="169" ht="15.75" customHeight="1">
      <c r="A169" s="1"/>
      <c r="B169" s="1"/>
      <c r="C169" s="1"/>
      <c r="D169" s="1"/>
      <c r="E169" s="1"/>
      <c r="F169" s="1"/>
      <c r="G169" s="2"/>
      <c r="H169" s="2"/>
      <c r="I169" s="2"/>
      <c r="J169" s="2"/>
      <c r="K169" s="2"/>
      <c r="L169" s="2"/>
      <c r="M169" s="2"/>
      <c r="N169" s="2"/>
      <c r="O169" s="2"/>
      <c r="P169" s="2"/>
      <c r="Q169" s="2"/>
      <c r="R169" s="2"/>
      <c r="S169" s="2"/>
      <c r="T169" s="2"/>
      <c r="U169" s="2"/>
      <c r="V169" s="2"/>
      <c r="W169" s="2"/>
      <c r="X169" s="2"/>
      <c r="Y169" s="2"/>
      <c r="Z169" s="2"/>
    </row>
    <row r="170" ht="15.75" customHeight="1">
      <c r="A170" s="1"/>
      <c r="B170" s="1"/>
      <c r="C170" s="1"/>
      <c r="D170" s="1"/>
      <c r="E170" s="1"/>
      <c r="F170" s="1"/>
      <c r="G170" s="2"/>
      <c r="H170" s="2"/>
      <c r="I170" s="2"/>
      <c r="J170" s="2"/>
      <c r="K170" s="2"/>
      <c r="L170" s="2"/>
      <c r="M170" s="2"/>
      <c r="N170" s="2"/>
      <c r="O170" s="2"/>
      <c r="P170" s="2"/>
      <c r="Q170" s="2"/>
      <c r="R170" s="2"/>
      <c r="S170" s="2"/>
      <c r="T170" s="2"/>
      <c r="U170" s="2"/>
      <c r="V170" s="2"/>
      <c r="W170" s="2"/>
      <c r="X170" s="2"/>
      <c r="Y170" s="2"/>
      <c r="Z170" s="2"/>
    </row>
    <row r="171" ht="15.75" customHeight="1">
      <c r="A171" s="1"/>
      <c r="B171" s="1"/>
      <c r="C171" s="1"/>
      <c r="D171" s="1"/>
      <c r="E171" s="1"/>
      <c r="F171" s="1"/>
      <c r="G171" s="2"/>
      <c r="H171" s="2"/>
      <c r="I171" s="2"/>
      <c r="J171" s="2"/>
      <c r="K171" s="2"/>
      <c r="L171" s="2"/>
      <c r="M171" s="2"/>
      <c r="N171" s="2"/>
      <c r="O171" s="2"/>
      <c r="P171" s="2"/>
      <c r="Q171" s="2"/>
      <c r="R171" s="2"/>
      <c r="S171" s="2"/>
      <c r="T171" s="2"/>
      <c r="U171" s="2"/>
      <c r="V171" s="2"/>
      <c r="W171" s="2"/>
      <c r="X171" s="2"/>
      <c r="Y171" s="2"/>
      <c r="Z171" s="2"/>
    </row>
    <row r="172" ht="15.75" customHeight="1">
      <c r="A172" s="1"/>
      <c r="B172" s="1"/>
      <c r="C172" s="1"/>
      <c r="D172" s="1"/>
      <c r="E172" s="1"/>
      <c r="F172" s="1"/>
      <c r="G172" s="2"/>
      <c r="H172" s="2"/>
      <c r="I172" s="2"/>
      <c r="J172" s="2"/>
      <c r="K172" s="2"/>
      <c r="L172" s="2"/>
      <c r="M172" s="2"/>
      <c r="N172" s="2"/>
      <c r="O172" s="2"/>
      <c r="P172" s="2"/>
      <c r="Q172" s="2"/>
      <c r="R172" s="2"/>
      <c r="S172" s="2"/>
      <c r="T172" s="2"/>
      <c r="U172" s="2"/>
      <c r="V172" s="2"/>
      <c r="W172" s="2"/>
      <c r="X172" s="2"/>
      <c r="Y172" s="2"/>
      <c r="Z172" s="2"/>
    </row>
    <row r="173" ht="15.75" customHeight="1">
      <c r="A173" s="1"/>
      <c r="B173" s="1"/>
      <c r="C173" s="1"/>
      <c r="D173" s="1"/>
      <c r="E173" s="1"/>
      <c r="F173" s="1"/>
      <c r="G173" s="2"/>
      <c r="H173" s="2"/>
      <c r="I173" s="2"/>
      <c r="J173" s="2"/>
      <c r="K173" s="2"/>
      <c r="L173" s="2"/>
      <c r="M173" s="2"/>
      <c r="N173" s="2"/>
      <c r="O173" s="2"/>
      <c r="P173" s="2"/>
      <c r="Q173" s="2"/>
      <c r="R173" s="2"/>
      <c r="S173" s="2"/>
      <c r="T173" s="2"/>
      <c r="U173" s="2"/>
      <c r="V173" s="2"/>
      <c r="W173" s="2"/>
      <c r="X173" s="2"/>
      <c r="Y173" s="2"/>
      <c r="Z173" s="2"/>
    </row>
    <row r="174" ht="15.75" customHeight="1">
      <c r="A174" s="1"/>
      <c r="B174" s="1"/>
      <c r="C174" s="1"/>
      <c r="D174" s="1"/>
      <c r="E174" s="1"/>
      <c r="F174" s="1"/>
      <c r="G174" s="2"/>
      <c r="H174" s="2"/>
      <c r="I174" s="2"/>
      <c r="J174" s="2"/>
      <c r="K174" s="2"/>
      <c r="L174" s="2"/>
      <c r="M174" s="2"/>
      <c r="N174" s="2"/>
      <c r="O174" s="2"/>
      <c r="P174" s="2"/>
      <c r="Q174" s="2"/>
      <c r="R174" s="2"/>
      <c r="S174" s="2"/>
      <c r="T174" s="2"/>
      <c r="U174" s="2"/>
      <c r="V174" s="2"/>
      <c r="W174" s="2"/>
      <c r="X174" s="2"/>
      <c r="Y174" s="2"/>
      <c r="Z174" s="2"/>
    </row>
    <row r="175" ht="15.75" customHeight="1">
      <c r="A175" s="1"/>
      <c r="B175" s="1"/>
      <c r="C175" s="1"/>
      <c r="D175" s="1"/>
      <c r="E175" s="1"/>
      <c r="F175" s="1"/>
      <c r="G175" s="2"/>
      <c r="H175" s="2"/>
      <c r="I175" s="2"/>
      <c r="J175" s="2"/>
      <c r="K175" s="2"/>
      <c r="L175" s="2"/>
      <c r="M175" s="2"/>
      <c r="N175" s="2"/>
      <c r="O175" s="2"/>
      <c r="P175" s="2"/>
      <c r="Q175" s="2"/>
      <c r="R175" s="2"/>
      <c r="S175" s="2"/>
      <c r="T175" s="2"/>
      <c r="U175" s="2"/>
      <c r="V175" s="2"/>
      <c r="W175" s="2"/>
      <c r="X175" s="2"/>
      <c r="Y175" s="2"/>
      <c r="Z175" s="2"/>
    </row>
    <row r="176" ht="15.75" customHeight="1">
      <c r="A176" s="1"/>
      <c r="B176" s="1"/>
      <c r="C176" s="1"/>
      <c r="D176" s="1"/>
      <c r="E176" s="1"/>
      <c r="F176" s="1"/>
      <c r="G176" s="2"/>
      <c r="H176" s="2"/>
      <c r="I176" s="2"/>
      <c r="J176" s="2"/>
      <c r="K176" s="2"/>
      <c r="L176" s="2"/>
      <c r="M176" s="2"/>
      <c r="N176" s="2"/>
      <c r="O176" s="2"/>
      <c r="P176" s="2"/>
      <c r="Q176" s="2"/>
      <c r="R176" s="2"/>
      <c r="S176" s="2"/>
      <c r="T176" s="2"/>
      <c r="U176" s="2"/>
      <c r="V176" s="2"/>
      <c r="W176" s="2"/>
      <c r="X176" s="2"/>
      <c r="Y176" s="2"/>
      <c r="Z176" s="2"/>
    </row>
    <row r="177" ht="15.75" customHeight="1">
      <c r="A177" s="1"/>
      <c r="B177" s="1"/>
      <c r="C177" s="1"/>
      <c r="D177" s="1"/>
      <c r="E177" s="1"/>
      <c r="F177" s="1"/>
      <c r="G177" s="2"/>
      <c r="H177" s="2"/>
      <c r="I177" s="2"/>
      <c r="J177" s="2"/>
      <c r="K177" s="2"/>
      <c r="L177" s="2"/>
      <c r="M177" s="2"/>
      <c r="N177" s="2"/>
      <c r="O177" s="2"/>
      <c r="P177" s="2"/>
      <c r="Q177" s="2"/>
      <c r="R177" s="2"/>
      <c r="S177" s="2"/>
      <c r="T177" s="2"/>
      <c r="U177" s="2"/>
      <c r="V177" s="2"/>
      <c r="W177" s="2"/>
      <c r="X177" s="2"/>
      <c r="Y177" s="2"/>
      <c r="Z177" s="2"/>
    </row>
    <row r="178" ht="15.75" customHeight="1">
      <c r="A178" s="1"/>
      <c r="B178" s="1"/>
      <c r="C178" s="1"/>
      <c r="D178" s="1"/>
      <c r="E178" s="1"/>
      <c r="F178" s="1"/>
      <c r="G178" s="2"/>
      <c r="H178" s="2"/>
      <c r="I178" s="2"/>
      <c r="J178" s="2"/>
      <c r="K178" s="2"/>
      <c r="L178" s="2"/>
      <c r="M178" s="2"/>
      <c r="N178" s="2"/>
      <c r="O178" s="2"/>
      <c r="P178" s="2"/>
      <c r="Q178" s="2"/>
      <c r="R178" s="2"/>
      <c r="S178" s="2"/>
      <c r="T178" s="2"/>
      <c r="U178" s="2"/>
      <c r="V178" s="2"/>
      <c r="W178" s="2"/>
      <c r="X178" s="2"/>
      <c r="Y178" s="2"/>
      <c r="Z178" s="2"/>
    </row>
    <row r="179" ht="15.75" customHeight="1">
      <c r="A179" s="1"/>
      <c r="B179" s="1"/>
      <c r="C179" s="1"/>
      <c r="D179" s="1"/>
      <c r="E179" s="1"/>
      <c r="F179" s="1"/>
      <c r="G179" s="2"/>
      <c r="H179" s="2"/>
      <c r="I179" s="2"/>
      <c r="J179" s="2"/>
      <c r="K179" s="2"/>
      <c r="L179" s="2"/>
      <c r="M179" s="2"/>
      <c r="N179" s="2"/>
      <c r="O179" s="2"/>
      <c r="P179" s="2"/>
      <c r="Q179" s="2"/>
      <c r="R179" s="2"/>
      <c r="S179" s="2"/>
      <c r="T179" s="2"/>
      <c r="U179" s="2"/>
      <c r="V179" s="2"/>
      <c r="W179" s="2"/>
      <c r="X179" s="2"/>
      <c r="Y179" s="2"/>
      <c r="Z179" s="2"/>
    </row>
    <row r="180" ht="15.75" customHeight="1">
      <c r="A180" s="1"/>
      <c r="B180" s="1"/>
      <c r="C180" s="1"/>
      <c r="D180" s="1"/>
      <c r="E180" s="1"/>
      <c r="F180" s="1"/>
      <c r="G180" s="2"/>
      <c r="H180" s="2"/>
      <c r="I180" s="2"/>
      <c r="J180" s="2"/>
      <c r="K180" s="2"/>
      <c r="L180" s="2"/>
      <c r="M180" s="2"/>
      <c r="N180" s="2"/>
      <c r="O180" s="2"/>
      <c r="P180" s="2"/>
      <c r="Q180" s="2"/>
      <c r="R180" s="2"/>
      <c r="S180" s="2"/>
      <c r="T180" s="2"/>
      <c r="U180" s="2"/>
      <c r="V180" s="2"/>
      <c r="W180" s="2"/>
      <c r="X180" s="2"/>
      <c r="Y180" s="2"/>
      <c r="Z180" s="2"/>
    </row>
    <row r="181" ht="15.75" customHeight="1">
      <c r="A181" s="1"/>
      <c r="B181" s="1"/>
      <c r="C181" s="1"/>
      <c r="D181" s="1"/>
      <c r="E181" s="1"/>
      <c r="F181" s="1"/>
      <c r="G181" s="2"/>
      <c r="H181" s="2"/>
      <c r="I181" s="2"/>
      <c r="J181" s="2"/>
      <c r="K181" s="2"/>
      <c r="L181" s="2"/>
      <c r="M181" s="2"/>
      <c r="N181" s="2"/>
      <c r="O181" s="2"/>
      <c r="P181" s="2"/>
      <c r="Q181" s="2"/>
      <c r="R181" s="2"/>
      <c r="S181" s="2"/>
      <c r="T181" s="2"/>
      <c r="U181" s="2"/>
      <c r="V181" s="2"/>
      <c r="W181" s="2"/>
      <c r="X181" s="2"/>
      <c r="Y181" s="2"/>
      <c r="Z181" s="2"/>
    </row>
    <row r="182" ht="15.75" customHeight="1">
      <c r="A182" s="1"/>
      <c r="B182" s="1"/>
      <c r="C182" s="1"/>
      <c r="D182" s="1"/>
      <c r="E182" s="1"/>
      <c r="F182" s="1"/>
      <c r="G182" s="2"/>
      <c r="H182" s="2"/>
      <c r="I182" s="2"/>
      <c r="J182" s="2"/>
      <c r="K182" s="2"/>
      <c r="L182" s="2"/>
      <c r="M182" s="2"/>
      <c r="N182" s="2"/>
      <c r="O182" s="2"/>
      <c r="P182" s="2"/>
      <c r="Q182" s="2"/>
      <c r="R182" s="2"/>
      <c r="S182" s="2"/>
      <c r="T182" s="2"/>
      <c r="U182" s="2"/>
      <c r="V182" s="2"/>
      <c r="W182" s="2"/>
      <c r="X182" s="2"/>
      <c r="Y182" s="2"/>
      <c r="Z182" s="2"/>
    </row>
    <row r="183" ht="15.75" customHeight="1">
      <c r="A183" s="1"/>
      <c r="B183" s="1"/>
      <c r="C183" s="1"/>
      <c r="D183" s="1"/>
      <c r="E183" s="1"/>
      <c r="F183" s="1"/>
      <c r="G183" s="2"/>
      <c r="H183" s="2"/>
      <c r="I183" s="2"/>
      <c r="J183" s="2"/>
      <c r="K183" s="2"/>
      <c r="L183" s="2"/>
      <c r="M183" s="2"/>
      <c r="N183" s="2"/>
      <c r="O183" s="2"/>
      <c r="P183" s="2"/>
      <c r="Q183" s="2"/>
      <c r="R183" s="2"/>
      <c r="S183" s="2"/>
      <c r="T183" s="2"/>
      <c r="U183" s="2"/>
      <c r="V183" s="2"/>
      <c r="W183" s="2"/>
      <c r="X183" s="2"/>
      <c r="Y183" s="2"/>
      <c r="Z183" s="2"/>
    </row>
    <row r="184" ht="15.75" customHeight="1">
      <c r="A184" s="1"/>
      <c r="B184" s="1"/>
      <c r="C184" s="1"/>
      <c r="D184" s="1"/>
      <c r="E184" s="1"/>
      <c r="F184" s="1"/>
      <c r="G184" s="2"/>
      <c r="H184" s="2"/>
      <c r="I184" s="2"/>
      <c r="J184" s="2"/>
      <c r="K184" s="2"/>
      <c r="L184" s="2"/>
      <c r="M184" s="2"/>
      <c r="N184" s="2"/>
      <c r="O184" s="2"/>
      <c r="P184" s="2"/>
      <c r="Q184" s="2"/>
      <c r="R184" s="2"/>
      <c r="S184" s="2"/>
      <c r="T184" s="2"/>
      <c r="U184" s="2"/>
      <c r="V184" s="2"/>
      <c r="W184" s="2"/>
      <c r="X184" s="2"/>
      <c r="Y184" s="2"/>
      <c r="Z184" s="2"/>
    </row>
    <row r="185" ht="15.75" customHeight="1">
      <c r="A185" s="1"/>
      <c r="B185" s="1"/>
      <c r="C185" s="1"/>
      <c r="D185" s="1"/>
      <c r="E185" s="1"/>
      <c r="F185" s="1"/>
      <c r="G185" s="2"/>
      <c r="H185" s="2"/>
      <c r="I185" s="2"/>
      <c r="J185" s="2"/>
      <c r="K185" s="2"/>
      <c r="L185" s="2"/>
      <c r="M185" s="2"/>
      <c r="N185" s="2"/>
      <c r="O185" s="2"/>
      <c r="P185" s="2"/>
      <c r="Q185" s="2"/>
      <c r="R185" s="2"/>
      <c r="S185" s="2"/>
      <c r="T185" s="2"/>
      <c r="U185" s="2"/>
      <c r="V185" s="2"/>
      <c r="W185" s="2"/>
      <c r="X185" s="2"/>
      <c r="Y185" s="2"/>
      <c r="Z185" s="2"/>
    </row>
    <row r="186" ht="15.75" customHeight="1">
      <c r="A186" s="1"/>
      <c r="B186" s="1"/>
      <c r="C186" s="1"/>
      <c r="D186" s="1"/>
      <c r="E186" s="1"/>
      <c r="F186" s="1"/>
      <c r="G186" s="2"/>
      <c r="H186" s="2"/>
      <c r="I186" s="2"/>
      <c r="J186" s="2"/>
      <c r="K186" s="2"/>
      <c r="L186" s="2"/>
      <c r="M186" s="2"/>
      <c r="N186" s="2"/>
      <c r="O186" s="2"/>
      <c r="P186" s="2"/>
      <c r="Q186" s="2"/>
      <c r="R186" s="2"/>
      <c r="S186" s="2"/>
      <c r="T186" s="2"/>
      <c r="U186" s="2"/>
      <c r="V186" s="2"/>
      <c r="W186" s="2"/>
      <c r="X186" s="2"/>
      <c r="Y186" s="2"/>
      <c r="Z186" s="2"/>
    </row>
    <row r="187" ht="15.75" customHeight="1">
      <c r="A187" s="1"/>
      <c r="B187" s="1"/>
      <c r="C187" s="1"/>
      <c r="D187" s="1"/>
      <c r="E187" s="1"/>
      <c r="F187" s="1"/>
      <c r="G187" s="2"/>
      <c r="H187" s="2"/>
      <c r="I187" s="2"/>
      <c r="J187" s="2"/>
      <c r="K187" s="2"/>
      <c r="L187" s="2"/>
      <c r="M187" s="2"/>
      <c r="N187" s="2"/>
      <c r="O187" s="2"/>
      <c r="P187" s="2"/>
      <c r="Q187" s="2"/>
      <c r="R187" s="2"/>
      <c r="S187" s="2"/>
      <c r="T187" s="2"/>
      <c r="U187" s="2"/>
      <c r="V187" s="2"/>
      <c r="W187" s="2"/>
      <c r="X187" s="2"/>
      <c r="Y187" s="2"/>
      <c r="Z187" s="2"/>
    </row>
    <row r="188" ht="15.75" customHeight="1">
      <c r="A188" s="1"/>
      <c r="B188" s="1"/>
      <c r="C188" s="1"/>
      <c r="D188" s="1"/>
      <c r="E188" s="1"/>
      <c r="F188" s="1"/>
      <c r="G188" s="2"/>
      <c r="H188" s="2"/>
      <c r="I188" s="2"/>
      <c r="J188" s="2"/>
      <c r="K188" s="2"/>
      <c r="L188" s="2"/>
      <c r="M188" s="2"/>
      <c r="N188" s="2"/>
      <c r="O188" s="2"/>
      <c r="P188" s="2"/>
      <c r="Q188" s="2"/>
      <c r="R188" s="2"/>
      <c r="S188" s="2"/>
      <c r="T188" s="2"/>
      <c r="U188" s="2"/>
      <c r="V188" s="2"/>
      <c r="W188" s="2"/>
      <c r="X188" s="2"/>
      <c r="Y188" s="2"/>
      <c r="Z188" s="2"/>
    </row>
    <row r="189" ht="15.75" customHeight="1">
      <c r="A189" s="1"/>
      <c r="B189" s="1"/>
      <c r="C189" s="1"/>
      <c r="D189" s="1"/>
      <c r="E189" s="1"/>
      <c r="F189" s="1"/>
      <c r="G189" s="2"/>
      <c r="H189" s="2"/>
      <c r="I189" s="2"/>
      <c r="J189" s="2"/>
      <c r="K189" s="2"/>
      <c r="L189" s="2"/>
      <c r="M189" s="2"/>
      <c r="N189" s="2"/>
      <c r="O189" s="2"/>
      <c r="P189" s="2"/>
      <c r="Q189" s="2"/>
      <c r="R189" s="2"/>
      <c r="S189" s="2"/>
      <c r="T189" s="2"/>
      <c r="U189" s="2"/>
      <c r="V189" s="2"/>
      <c r="W189" s="2"/>
      <c r="X189" s="2"/>
      <c r="Y189" s="2"/>
      <c r="Z189" s="2"/>
    </row>
    <row r="190" ht="15.75" customHeight="1">
      <c r="A190" s="1"/>
      <c r="B190" s="1"/>
      <c r="C190" s="1"/>
      <c r="D190" s="1"/>
      <c r="E190" s="1"/>
      <c r="F190" s="1"/>
      <c r="G190" s="2"/>
      <c r="H190" s="2"/>
      <c r="I190" s="2"/>
      <c r="J190" s="2"/>
      <c r="K190" s="2"/>
      <c r="L190" s="2"/>
      <c r="M190" s="2"/>
      <c r="N190" s="2"/>
      <c r="O190" s="2"/>
      <c r="P190" s="2"/>
      <c r="Q190" s="2"/>
      <c r="R190" s="2"/>
      <c r="S190" s="2"/>
      <c r="T190" s="2"/>
      <c r="U190" s="2"/>
      <c r="V190" s="2"/>
      <c r="W190" s="2"/>
      <c r="X190" s="2"/>
      <c r="Y190" s="2"/>
      <c r="Z190" s="2"/>
    </row>
    <row r="191" ht="15.75" customHeight="1">
      <c r="A191" s="1"/>
      <c r="B191" s="1"/>
      <c r="C191" s="1"/>
      <c r="D191" s="1"/>
      <c r="E191" s="1"/>
      <c r="F191" s="1"/>
      <c r="G191" s="2"/>
      <c r="H191" s="2"/>
      <c r="I191" s="2"/>
      <c r="J191" s="2"/>
      <c r="K191" s="2"/>
      <c r="L191" s="2"/>
      <c r="M191" s="2"/>
      <c r="N191" s="2"/>
      <c r="O191" s="2"/>
      <c r="P191" s="2"/>
      <c r="Q191" s="2"/>
      <c r="R191" s="2"/>
      <c r="S191" s="2"/>
      <c r="T191" s="2"/>
      <c r="U191" s="2"/>
      <c r="V191" s="2"/>
      <c r="W191" s="2"/>
      <c r="X191" s="2"/>
      <c r="Y191" s="2"/>
      <c r="Z191" s="2"/>
    </row>
    <row r="192" ht="15.75" customHeight="1">
      <c r="A192" s="1"/>
      <c r="B192" s="1"/>
      <c r="C192" s="1"/>
      <c r="D192" s="1"/>
      <c r="E192" s="1"/>
      <c r="F192" s="1"/>
      <c r="G192" s="2"/>
      <c r="H192" s="2"/>
      <c r="I192" s="2"/>
      <c r="J192" s="2"/>
      <c r="K192" s="2"/>
      <c r="L192" s="2"/>
      <c r="M192" s="2"/>
      <c r="N192" s="2"/>
      <c r="O192" s="2"/>
      <c r="P192" s="2"/>
      <c r="Q192" s="2"/>
      <c r="R192" s="2"/>
      <c r="S192" s="2"/>
      <c r="T192" s="2"/>
      <c r="U192" s="2"/>
      <c r="V192" s="2"/>
      <c r="W192" s="2"/>
      <c r="X192" s="2"/>
      <c r="Y192" s="2"/>
      <c r="Z192" s="2"/>
    </row>
    <row r="193" ht="15.75" customHeight="1">
      <c r="A193" s="1"/>
      <c r="B193" s="1"/>
      <c r="C193" s="1"/>
      <c r="D193" s="1"/>
      <c r="E193" s="1"/>
      <c r="F193" s="1"/>
      <c r="G193" s="2"/>
      <c r="H193" s="2"/>
      <c r="I193" s="2"/>
      <c r="J193" s="2"/>
      <c r="K193" s="2"/>
      <c r="L193" s="2"/>
      <c r="M193" s="2"/>
      <c r="N193" s="2"/>
      <c r="O193" s="2"/>
      <c r="P193" s="2"/>
      <c r="Q193" s="2"/>
      <c r="R193" s="2"/>
      <c r="S193" s="2"/>
      <c r="T193" s="2"/>
      <c r="U193" s="2"/>
      <c r="V193" s="2"/>
      <c r="W193" s="2"/>
      <c r="X193" s="2"/>
      <c r="Y193" s="2"/>
      <c r="Z193" s="2"/>
    </row>
    <row r="194" ht="15.75" customHeight="1">
      <c r="A194" s="1"/>
      <c r="B194" s="1"/>
      <c r="C194" s="1"/>
      <c r="D194" s="1"/>
      <c r="E194" s="1"/>
      <c r="F194" s="1"/>
      <c r="G194" s="2"/>
      <c r="H194" s="2"/>
      <c r="I194" s="2"/>
      <c r="J194" s="2"/>
      <c r="K194" s="2"/>
      <c r="L194" s="2"/>
      <c r="M194" s="2"/>
      <c r="N194" s="2"/>
      <c r="O194" s="2"/>
      <c r="P194" s="2"/>
      <c r="Q194" s="2"/>
      <c r="R194" s="2"/>
      <c r="S194" s="2"/>
      <c r="T194" s="2"/>
      <c r="U194" s="2"/>
      <c r="V194" s="2"/>
      <c r="W194" s="2"/>
      <c r="X194" s="2"/>
      <c r="Y194" s="2"/>
      <c r="Z194" s="2"/>
    </row>
    <row r="195" ht="15.75" customHeight="1">
      <c r="A195" s="1"/>
      <c r="B195" s="1"/>
      <c r="C195" s="1"/>
      <c r="D195" s="1"/>
      <c r="E195" s="1"/>
      <c r="F195" s="1"/>
      <c r="G195" s="2"/>
      <c r="H195" s="2"/>
      <c r="I195" s="2"/>
      <c r="J195" s="2"/>
      <c r="K195" s="2"/>
      <c r="L195" s="2"/>
      <c r="M195" s="2"/>
      <c r="N195" s="2"/>
      <c r="O195" s="2"/>
      <c r="P195" s="2"/>
      <c r="Q195" s="2"/>
      <c r="R195" s="2"/>
      <c r="S195" s="2"/>
      <c r="T195" s="2"/>
      <c r="U195" s="2"/>
      <c r="V195" s="2"/>
      <c r="W195" s="2"/>
      <c r="X195" s="2"/>
      <c r="Y195" s="2"/>
      <c r="Z195" s="2"/>
    </row>
    <row r="196" ht="15.75" customHeight="1">
      <c r="A196" s="1"/>
      <c r="B196" s="1"/>
      <c r="C196" s="1"/>
      <c r="D196" s="1"/>
      <c r="E196" s="1"/>
      <c r="F196" s="1"/>
      <c r="G196" s="2"/>
      <c r="H196" s="2"/>
      <c r="I196" s="2"/>
      <c r="J196" s="2"/>
      <c r="K196" s="2"/>
      <c r="L196" s="2"/>
      <c r="M196" s="2"/>
      <c r="N196" s="2"/>
      <c r="O196" s="2"/>
      <c r="P196" s="2"/>
      <c r="Q196" s="2"/>
      <c r="R196" s="2"/>
      <c r="S196" s="2"/>
      <c r="T196" s="2"/>
      <c r="U196" s="2"/>
      <c r="V196" s="2"/>
      <c r="W196" s="2"/>
      <c r="X196" s="2"/>
      <c r="Y196" s="2"/>
      <c r="Z196" s="2"/>
    </row>
    <row r="197" ht="15.75" customHeight="1">
      <c r="A197" s="1"/>
      <c r="B197" s="1"/>
      <c r="C197" s="1"/>
      <c r="D197" s="1"/>
      <c r="E197" s="1"/>
      <c r="F197" s="1"/>
      <c r="G197" s="2"/>
      <c r="H197" s="2"/>
      <c r="I197" s="2"/>
      <c r="J197" s="2"/>
      <c r="K197" s="2"/>
      <c r="L197" s="2"/>
      <c r="M197" s="2"/>
      <c r="N197" s="2"/>
      <c r="O197" s="2"/>
      <c r="P197" s="2"/>
      <c r="Q197" s="2"/>
      <c r="R197" s="2"/>
      <c r="S197" s="2"/>
      <c r="T197" s="2"/>
      <c r="U197" s="2"/>
      <c r="V197" s="2"/>
      <c r="W197" s="2"/>
      <c r="X197" s="2"/>
      <c r="Y197" s="2"/>
      <c r="Z197" s="2"/>
    </row>
    <row r="198" ht="15.75" customHeight="1">
      <c r="A198" s="1"/>
      <c r="B198" s="1"/>
      <c r="C198" s="1"/>
      <c r="D198" s="1"/>
      <c r="E198" s="1"/>
      <c r="F198" s="1"/>
      <c r="G198" s="2"/>
      <c r="H198" s="2"/>
      <c r="I198" s="2"/>
      <c r="J198" s="2"/>
      <c r="K198" s="2"/>
      <c r="L198" s="2"/>
      <c r="M198" s="2"/>
      <c r="N198" s="2"/>
      <c r="O198" s="2"/>
      <c r="P198" s="2"/>
      <c r="Q198" s="2"/>
      <c r="R198" s="2"/>
      <c r="S198" s="2"/>
      <c r="T198" s="2"/>
      <c r="U198" s="2"/>
      <c r="V198" s="2"/>
      <c r="W198" s="2"/>
      <c r="X198" s="2"/>
      <c r="Y198" s="2"/>
      <c r="Z198" s="2"/>
    </row>
    <row r="199" ht="15.75" customHeight="1">
      <c r="A199" s="1"/>
      <c r="B199" s="1"/>
      <c r="C199" s="1"/>
      <c r="D199" s="1"/>
      <c r="E199" s="1"/>
      <c r="F199" s="1"/>
      <c r="G199" s="2"/>
      <c r="H199" s="2"/>
      <c r="I199" s="2"/>
      <c r="J199" s="2"/>
      <c r="K199" s="2"/>
      <c r="L199" s="2"/>
      <c r="M199" s="2"/>
      <c r="N199" s="2"/>
      <c r="O199" s="2"/>
      <c r="P199" s="2"/>
      <c r="Q199" s="2"/>
      <c r="R199" s="2"/>
      <c r="S199" s="2"/>
      <c r="T199" s="2"/>
      <c r="U199" s="2"/>
      <c r="V199" s="2"/>
      <c r="W199" s="2"/>
      <c r="X199" s="2"/>
      <c r="Y199" s="2"/>
      <c r="Z199" s="2"/>
    </row>
    <row r="200" ht="15.75" customHeight="1">
      <c r="A200" s="1"/>
      <c r="B200" s="1"/>
      <c r="C200" s="1"/>
      <c r="D200" s="1"/>
      <c r="E200" s="1"/>
      <c r="F200" s="1"/>
      <c r="G200" s="2"/>
      <c r="H200" s="2"/>
      <c r="I200" s="2"/>
      <c r="J200" s="2"/>
      <c r="K200" s="2"/>
      <c r="L200" s="2"/>
      <c r="M200" s="2"/>
      <c r="N200" s="2"/>
      <c r="O200" s="2"/>
      <c r="P200" s="2"/>
      <c r="Q200" s="2"/>
      <c r="R200" s="2"/>
      <c r="S200" s="2"/>
      <c r="T200" s="2"/>
      <c r="U200" s="2"/>
      <c r="V200" s="2"/>
      <c r="W200" s="2"/>
      <c r="X200" s="2"/>
      <c r="Y200" s="2"/>
      <c r="Z200" s="2"/>
    </row>
    <row r="201" ht="15.75" customHeight="1">
      <c r="A201" s="1"/>
      <c r="B201" s="1"/>
      <c r="C201" s="1"/>
      <c r="D201" s="1"/>
      <c r="E201" s="1"/>
      <c r="F201" s="1"/>
      <c r="G201" s="2"/>
      <c r="H201" s="2"/>
      <c r="I201" s="2"/>
      <c r="J201" s="2"/>
      <c r="K201" s="2"/>
      <c r="L201" s="2"/>
      <c r="M201" s="2"/>
      <c r="N201" s="2"/>
      <c r="O201" s="2"/>
      <c r="P201" s="2"/>
      <c r="Q201" s="2"/>
      <c r="R201" s="2"/>
      <c r="S201" s="2"/>
      <c r="T201" s="2"/>
      <c r="U201" s="2"/>
      <c r="V201" s="2"/>
      <c r="W201" s="2"/>
      <c r="X201" s="2"/>
      <c r="Y201" s="2"/>
      <c r="Z201" s="2"/>
    </row>
    <row r="202" ht="15.75" customHeight="1">
      <c r="A202" s="1"/>
      <c r="B202" s="1"/>
      <c r="C202" s="1"/>
      <c r="D202" s="1"/>
      <c r="E202" s="1"/>
      <c r="F202" s="1"/>
      <c r="G202" s="2"/>
      <c r="H202" s="2"/>
      <c r="I202" s="2"/>
      <c r="J202" s="2"/>
      <c r="K202" s="2"/>
      <c r="L202" s="2"/>
      <c r="M202" s="2"/>
      <c r="N202" s="2"/>
      <c r="O202" s="2"/>
      <c r="P202" s="2"/>
      <c r="Q202" s="2"/>
      <c r="R202" s="2"/>
      <c r="S202" s="2"/>
      <c r="T202" s="2"/>
      <c r="U202" s="2"/>
      <c r="V202" s="2"/>
      <c r="W202" s="2"/>
      <c r="X202" s="2"/>
      <c r="Y202" s="2"/>
      <c r="Z202" s="2"/>
    </row>
    <row r="203" ht="15.75" customHeight="1">
      <c r="A203" s="1"/>
      <c r="B203" s="1"/>
      <c r="C203" s="1"/>
      <c r="D203" s="1"/>
      <c r="E203" s="1"/>
      <c r="F203" s="1"/>
      <c r="G203" s="2"/>
      <c r="H203" s="2"/>
      <c r="I203" s="2"/>
      <c r="J203" s="2"/>
      <c r="K203" s="2"/>
      <c r="L203" s="2"/>
      <c r="M203" s="2"/>
      <c r="N203" s="2"/>
      <c r="O203" s="2"/>
      <c r="P203" s="2"/>
      <c r="Q203" s="2"/>
      <c r="R203" s="2"/>
      <c r="S203" s="2"/>
      <c r="T203" s="2"/>
      <c r="U203" s="2"/>
      <c r="V203" s="2"/>
      <c r="W203" s="2"/>
      <c r="X203" s="2"/>
      <c r="Y203" s="2"/>
      <c r="Z203" s="2"/>
    </row>
    <row r="204" ht="15.75" customHeight="1">
      <c r="A204" s="1"/>
      <c r="B204" s="1"/>
      <c r="C204" s="1"/>
      <c r="D204" s="1"/>
      <c r="E204" s="1"/>
      <c r="F204" s="1"/>
      <c r="G204" s="2"/>
      <c r="H204" s="2"/>
      <c r="I204" s="2"/>
      <c r="J204" s="2"/>
      <c r="K204" s="2"/>
      <c r="L204" s="2"/>
      <c r="M204" s="2"/>
      <c r="N204" s="2"/>
      <c r="O204" s="2"/>
      <c r="P204" s="2"/>
      <c r="Q204" s="2"/>
      <c r="R204" s="2"/>
      <c r="S204" s="2"/>
      <c r="T204" s="2"/>
      <c r="U204" s="2"/>
      <c r="V204" s="2"/>
      <c r="W204" s="2"/>
      <c r="X204" s="2"/>
      <c r="Y204" s="2"/>
      <c r="Z204" s="2"/>
    </row>
    <row r="205" ht="15.75" customHeight="1">
      <c r="A205" s="1"/>
      <c r="B205" s="1"/>
      <c r="C205" s="1"/>
      <c r="D205" s="1"/>
      <c r="E205" s="1"/>
      <c r="F205" s="1"/>
      <c r="G205" s="2"/>
      <c r="H205" s="2"/>
      <c r="I205" s="2"/>
      <c r="J205" s="2"/>
      <c r="K205" s="2"/>
      <c r="L205" s="2"/>
      <c r="M205" s="2"/>
      <c r="N205" s="2"/>
      <c r="O205" s="2"/>
      <c r="P205" s="2"/>
      <c r="Q205" s="2"/>
      <c r="R205" s="2"/>
      <c r="S205" s="2"/>
      <c r="T205" s="2"/>
      <c r="U205" s="2"/>
      <c r="V205" s="2"/>
      <c r="W205" s="2"/>
      <c r="X205" s="2"/>
      <c r="Y205" s="2"/>
      <c r="Z205" s="2"/>
    </row>
    <row r="206" ht="15.75" customHeight="1">
      <c r="A206" s="1"/>
      <c r="B206" s="1"/>
      <c r="C206" s="1"/>
      <c r="D206" s="1"/>
      <c r="E206" s="1"/>
      <c r="F206" s="1"/>
      <c r="G206" s="2"/>
      <c r="H206" s="2"/>
      <c r="I206" s="2"/>
      <c r="J206" s="2"/>
      <c r="K206" s="2"/>
      <c r="L206" s="2"/>
      <c r="M206" s="2"/>
      <c r="N206" s="2"/>
      <c r="O206" s="2"/>
      <c r="P206" s="2"/>
      <c r="Q206" s="2"/>
      <c r="R206" s="2"/>
      <c r="S206" s="2"/>
      <c r="T206" s="2"/>
      <c r="U206" s="2"/>
      <c r="V206" s="2"/>
      <c r="W206" s="2"/>
      <c r="X206" s="2"/>
      <c r="Y206" s="2"/>
      <c r="Z206" s="2"/>
    </row>
    <row r="207" ht="15.75" customHeight="1">
      <c r="A207" s="1"/>
      <c r="B207" s="1"/>
      <c r="C207" s="1"/>
      <c r="D207" s="1"/>
      <c r="E207" s="1"/>
      <c r="F207" s="1"/>
      <c r="G207" s="2"/>
      <c r="H207" s="2"/>
      <c r="I207" s="2"/>
      <c r="J207" s="2"/>
      <c r="K207" s="2"/>
      <c r="L207" s="2"/>
      <c r="M207" s="2"/>
      <c r="N207" s="2"/>
      <c r="O207" s="2"/>
      <c r="P207" s="2"/>
      <c r="Q207" s="2"/>
      <c r="R207" s="2"/>
      <c r="S207" s="2"/>
      <c r="T207" s="2"/>
      <c r="U207" s="2"/>
      <c r="V207" s="2"/>
      <c r="W207" s="2"/>
      <c r="X207" s="2"/>
      <c r="Y207" s="2"/>
      <c r="Z207" s="2"/>
    </row>
    <row r="208" ht="15.75" customHeight="1">
      <c r="A208" s="1"/>
      <c r="B208" s="1"/>
      <c r="C208" s="1"/>
      <c r="D208" s="1"/>
      <c r="E208" s="1"/>
      <c r="F208" s="1"/>
      <c r="G208" s="2"/>
      <c r="H208" s="2"/>
      <c r="I208" s="2"/>
      <c r="J208" s="2"/>
      <c r="K208" s="2"/>
      <c r="L208" s="2"/>
      <c r="M208" s="2"/>
      <c r="N208" s="2"/>
      <c r="O208" s="2"/>
      <c r="P208" s="2"/>
      <c r="Q208" s="2"/>
      <c r="R208" s="2"/>
      <c r="S208" s="2"/>
      <c r="T208" s="2"/>
      <c r="U208" s="2"/>
      <c r="V208" s="2"/>
      <c r="W208" s="2"/>
      <c r="X208" s="2"/>
      <c r="Y208" s="2"/>
      <c r="Z208" s="2"/>
    </row>
    <row r="209" ht="15.75" customHeight="1">
      <c r="A209" s="1"/>
      <c r="B209" s="1"/>
      <c r="C209" s="1"/>
      <c r="D209" s="1"/>
      <c r="E209" s="1"/>
      <c r="F209" s="1"/>
      <c r="G209" s="2"/>
      <c r="H209" s="2"/>
      <c r="I209" s="2"/>
      <c r="J209" s="2"/>
      <c r="K209" s="2"/>
      <c r="L209" s="2"/>
      <c r="M209" s="2"/>
      <c r="N209" s="2"/>
      <c r="O209" s="2"/>
      <c r="P209" s="2"/>
      <c r="Q209" s="2"/>
      <c r="R209" s="2"/>
      <c r="S209" s="2"/>
      <c r="T209" s="2"/>
      <c r="U209" s="2"/>
      <c r="V209" s="2"/>
      <c r="W209" s="2"/>
      <c r="X209" s="2"/>
      <c r="Y209" s="2"/>
      <c r="Z209" s="2"/>
    </row>
    <row r="210" ht="15.75" customHeight="1">
      <c r="A210" s="1"/>
      <c r="B210" s="1"/>
      <c r="C210" s="1"/>
      <c r="D210" s="1"/>
      <c r="E210" s="1"/>
      <c r="F210" s="1"/>
      <c r="G210" s="2"/>
      <c r="H210" s="2"/>
      <c r="I210" s="2"/>
      <c r="J210" s="2"/>
      <c r="K210" s="2"/>
      <c r="L210" s="2"/>
      <c r="M210" s="2"/>
      <c r="N210" s="2"/>
      <c r="O210" s="2"/>
      <c r="P210" s="2"/>
      <c r="Q210" s="2"/>
      <c r="R210" s="2"/>
      <c r="S210" s="2"/>
      <c r="T210" s="2"/>
      <c r="U210" s="2"/>
      <c r="V210" s="2"/>
      <c r="W210" s="2"/>
      <c r="X210" s="2"/>
      <c r="Y210" s="2"/>
      <c r="Z210" s="2"/>
    </row>
    <row r="211" ht="15.75" customHeight="1">
      <c r="A211" s="1"/>
      <c r="B211" s="1"/>
      <c r="C211" s="1"/>
      <c r="D211" s="1"/>
      <c r="E211" s="1"/>
      <c r="F211" s="1"/>
      <c r="G211" s="2"/>
      <c r="H211" s="2"/>
      <c r="I211" s="2"/>
      <c r="J211" s="2"/>
      <c r="K211" s="2"/>
      <c r="L211" s="2"/>
      <c r="M211" s="2"/>
      <c r="N211" s="2"/>
      <c r="O211" s="2"/>
      <c r="P211" s="2"/>
      <c r="Q211" s="2"/>
      <c r="R211" s="2"/>
      <c r="S211" s="2"/>
      <c r="T211" s="2"/>
      <c r="U211" s="2"/>
      <c r="V211" s="2"/>
      <c r="W211" s="2"/>
      <c r="X211" s="2"/>
      <c r="Y211" s="2"/>
      <c r="Z211" s="2"/>
    </row>
    <row r="212" ht="15.75" customHeight="1">
      <c r="A212" s="1"/>
      <c r="B212" s="1"/>
      <c r="C212" s="1"/>
      <c r="D212" s="1"/>
      <c r="E212" s="1"/>
      <c r="F212" s="1"/>
      <c r="G212" s="2"/>
      <c r="H212" s="2"/>
      <c r="I212" s="2"/>
      <c r="J212" s="2"/>
      <c r="K212" s="2"/>
      <c r="L212" s="2"/>
      <c r="M212" s="2"/>
      <c r="N212" s="2"/>
      <c r="O212" s="2"/>
      <c r="P212" s="2"/>
      <c r="Q212" s="2"/>
      <c r="R212" s="2"/>
      <c r="S212" s="2"/>
      <c r="T212" s="2"/>
      <c r="U212" s="2"/>
      <c r="V212" s="2"/>
      <c r="W212" s="2"/>
      <c r="X212" s="2"/>
      <c r="Y212" s="2"/>
      <c r="Z212" s="2"/>
    </row>
    <row r="213" ht="15.75" customHeight="1">
      <c r="A213" s="1"/>
      <c r="B213" s="1"/>
      <c r="C213" s="1"/>
      <c r="D213" s="1"/>
      <c r="E213" s="1"/>
      <c r="F213" s="1"/>
      <c r="G213" s="2"/>
      <c r="H213" s="2"/>
      <c r="I213" s="2"/>
      <c r="J213" s="2"/>
      <c r="K213" s="2"/>
      <c r="L213" s="2"/>
      <c r="M213" s="2"/>
      <c r="N213" s="2"/>
      <c r="O213" s="2"/>
      <c r="P213" s="2"/>
      <c r="Q213" s="2"/>
      <c r="R213" s="2"/>
      <c r="S213" s="2"/>
      <c r="T213" s="2"/>
      <c r="U213" s="2"/>
      <c r="V213" s="2"/>
      <c r="W213" s="2"/>
      <c r="X213" s="2"/>
      <c r="Y213" s="2"/>
      <c r="Z213" s="2"/>
    </row>
    <row r="214" ht="15.75" customHeight="1">
      <c r="A214" s="1"/>
      <c r="B214" s="1"/>
      <c r="C214" s="1"/>
      <c r="D214" s="1"/>
      <c r="E214" s="1"/>
      <c r="F214" s="1"/>
      <c r="G214" s="2"/>
      <c r="H214" s="2"/>
      <c r="I214" s="2"/>
      <c r="J214" s="2"/>
      <c r="K214" s="2"/>
      <c r="L214" s="2"/>
      <c r="M214" s="2"/>
      <c r="N214" s="2"/>
      <c r="O214" s="2"/>
      <c r="P214" s="2"/>
      <c r="Q214" s="2"/>
      <c r="R214" s="2"/>
      <c r="S214" s="2"/>
      <c r="T214" s="2"/>
      <c r="U214" s="2"/>
      <c r="V214" s="2"/>
      <c r="W214" s="2"/>
      <c r="X214" s="2"/>
      <c r="Y214" s="2"/>
      <c r="Z214" s="2"/>
    </row>
    <row r="215" ht="15.75" customHeight="1">
      <c r="A215" s="1"/>
      <c r="B215" s="1"/>
      <c r="C215" s="1"/>
      <c r="D215" s="1"/>
      <c r="E215" s="1"/>
      <c r="F215" s="1"/>
      <c r="G215" s="2"/>
      <c r="H215" s="2"/>
      <c r="I215" s="2"/>
      <c r="J215" s="2"/>
      <c r="K215" s="2"/>
      <c r="L215" s="2"/>
      <c r="M215" s="2"/>
      <c r="N215" s="2"/>
      <c r="O215" s="2"/>
      <c r="P215" s="2"/>
      <c r="Q215" s="2"/>
      <c r="R215" s="2"/>
      <c r="S215" s="2"/>
      <c r="T215" s="2"/>
      <c r="U215" s="2"/>
      <c r="V215" s="2"/>
      <c r="W215" s="2"/>
      <c r="X215" s="2"/>
      <c r="Y215" s="2"/>
      <c r="Z215" s="2"/>
    </row>
    <row r="216" ht="15.75" customHeight="1">
      <c r="A216" s="1"/>
      <c r="B216" s="1"/>
      <c r="C216" s="1"/>
      <c r="D216" s="1"/>
      <c r="E216" s="1"/>
      <c r="F216" s="1"/>
      <c r="G216" s="2"/>
      <c r="H216" s="2"/>
      <c r="I216" s="2"/>
      <c r="J216" s="2"/>
      <c r="K216" s="2"/>
      <c r="L216" s="2"/>
      <c r="M216" s="2"/>
      <c r="N216" s="2"/>
      <c r="O216" s="2"/>
      <c r="P216" s="2"/>
      <c r="Q216" s="2"/>
      <c r="R216" s="2"/>
      <c r="S216" s="2"/>
      <c r="T216" s="2"/>
      <c r="U216" s="2"/>
      <c r="V216" s="2"/>
      <c r="W216" s="2"/>
      <c r="X216" s="2"/>
      <c r="Y216" s="2"/>
      <c r="Z216" s="2"/>
    </row>
    <row r="217" ht="15.75" customHeight="1">
      <c r="A217" s="1"/>
      <c r="B217" s="1"/>
      <c r="C217" s="1"/>
      <c r="D217" s="1"/>
      <c r="E217" s="1"/>
      <c r="F217" s="1"/>
      <c r="G217" s="2"/>
      <c r="H217" s="2"/>
      <c r="I217" s="2"/>
      <c r="J217" s="2"/>
      <c r="K217" s="2"/>
      <c r="L217" s="2"/>
      <c r="M217" s="2"/>
      <c r="N217" s="2"/>
      <c r="O217" s="2"/>
      <c r="P217" s="2"/>
      <c r="Q217" s="2"/>
      <c r="R217" s="2"/>
      <c r="S217" s="2"/>
      <c r="T217" s="2"/>
      <c r="U217" s="2"/>
      <c r="V217" s="2"/>
      <c r="W217" s="2"/>
      <c r="X217" s="2"/>
      <c r="Y217" s="2"/>
      <c r="Z217" s="2"/>
    </row>
    <row r="218" ht="15.75" customHeight="1">
      <c r="A218" s="1"/>
      <c r="B218" s="1"/>
      <c r="C218" s="1"/>
      <c r="D218" s="1"/>
      <c r="E218" s="1"/>
      <c r="F218" s="1"/>
      <c r="G218" s="2"/>
      <c r="H218" s="2"/>
      <c r="I218" s="2"/>
      <c r="J218" s="2"/>
      <c r="K218" s="2"/>
      <c r="L218" s="2"/>
      <c r="M218" s="2"/>
      <c r="N218" s="2"/>
      <c r="O218" s="2"/>
      <c r="P218" s="2"/>
      <c r="Q218" s="2"/>
      <c r="R218" s="2"/>
      <c r="S218" s="2"/>
      <c r="T218" s="2"/>
      <c r="U218" s="2"/>
      <c r="V218" s="2"/>
      <c r="W218" s="2"/>
      <c r="X218" s="2"/>
      <c r="Y218" s="2"/>
      <c r="Z218" s="2"/>
    </row>
    <row r="219" ht="15.75" customHeight="1">
      <c r="A219" s="1"/>
      <c r="B219" s="1"/>
      <c r="C219" s="1"/>
      <c r="D219" s="1"/>
      <c r="E219" s="1"/>
      <c r="F219" s="1"/>
      <c r="G219" s="2"/>
      <c r="H219" s="2"/>
      <c r="I219" s="2"/>
      <c r="J219" s="2"/>
      <c r="K219" s="2"/>
      <c r="L219" s="2"/>
      <c r="M219" s="2"/>
      <c r="N219" s="2"/>
      <c r="O219" s="2"/>
      <c r="P219" s="2"/>
      <c r="Q219" s="2"/>
      <c r="R219" s="2"/>
      <c r="S219" s="2"/>
      <c r="T219" s="2"/>
      <c r="U219" s="2"/>
      <c r="V219" s="2"/>
      <c r="W219" s="2"/>
      <c r="X219" s="2"/>
      <c r="Y219" s="2"/>
      <c r="Z219" s="2"/>
    </row>
    <row r="220" ht="15.75" customHeight="1">
      <c r="A220" s="1"/>
      <c r="B220" s="1"/>
      <c r="C220" s="1"/>
      <c r="D220" s="1"/>
      <c r="E220" s="1"/>
      <c r="F220" s="1"/>
      <c r="G220" s="2"/>
      <c r="H220" s="2"/>
      <c r="I220" s="2"/>
      <c r="J220" s="2"/>
      <c r="K220" s="2"/>
      <c r="L220" s="2"/>
      <c r="M220" s="2"/>
      <c r="N220" s="2"/>
      <c r="O220" s="2"/>
      <c r="P220" s="2"/>
      <c r="Q220" s="2"/>
      <c r="R220" s="2"/>
      <c r="S220" s="2"/>
      <c r="T220" s="2"/>
      <c r="U220" s="2"/>
      <c r="V220" s="2"/>
      <c r="W220" s="2"/>
      <c r="X220" s="2"/>
      <c r="Y220" s="2"/>
      <c r="Z220" s="2"/>
    </row>
    <row r="221" ht="15.75" customHeight="1">
      <c r="A221" s="1"/>
      <c r="B221" s="1"/>
      <c r="C221" s="1"/>
      <c r="D221" s="1"/>
      <c r="E221" s="1"/>
      <c r="F221" s="1"/>
      <c r="G221" s="2"/>
      <c r="H221" s="2"/>
      <c r="I221" s="2"/>
      <c r="J221" s="2"/>
      <c r="K221" s="2"/>
      <c r="L221" s="2"/>
      <c r="M221" s="2"/>
      <c r="N221" s="2"/>
      <c r="O221" s="2"/>
      <c r="P221" s="2"/>
      <c r="Q221" s="2"/>
      <c r="R221" s="2"/>
      <c r="S221" s="2"/>
      <c r="T221" s="2"/>
      <c r="U221" s="2"/>
      <c r="V221" s="2"/>
      <c r="W221" s="2"/>
      <c r="X221" s="2"/>
      <c r="Y221" s="2"/>
      <c r="Z221" s="2"/>
    </row>
    <row r="222" ht="15.75" customHeight="1">
      <c r="A222" s="1"/>
      <c r="B222" s="1"/>
      <c r="C222" s="1"/>
      <c r="D222" s="1"/>
      <c r="E222" s="1"/>
      <c r="F222" s="1"/>
      <c r="G222" s="2"/>
      <c r="H222" s="2"/>
      <c r="I222" s="2"/>
      <c r="J222" s="2"/>
      <c r="K222" s="2"/>
      <c r="L222" s="2"/>
      <c r="M222" s="2"/>
      <c r="N222" s="2"/>
      <c r="O222" s="2"/>
      <c r="P222" s="2"/>
      <c r="Q222" s="2"/>
      <c r="R222" s="2"/>
      <c r="S222" s="2"/>
      <c r="T222" s="2"/>
      <c r="U222" s="2"/>
      <c r="V222" s="2"/>
      <c r="W222" s="2"/>
      <c r="X222" s="2"/>
      <c r="Y222" s="2"/>
      <c r="Z222" s="2"/>
    </row>
    <row r="223" ht="15.75" customHeight="1">
      <c r="A223" s="1"/>
      <c r="B223" s="1"/>
      <c r="C223" s="1"/>
      <c r="D223" s="1"/>
      <c r="E223" s="1"/>
      <c r="F223" s="1"/>
      <c r="G223" s="2"/>
      <c r="H223" s="2"/>
      <c r="I223" s="2"/>
      <c r="J223" s="2"/>
      <c r="K223" s="2"/>
      <c r="L223" s="2"/>
      <c r="M223" s="2"/>
      <c r="N223" s="2"/>
      <c r="O223" s="2"/>
      <c r="P223" s="2"/>
      <c r="Q223" s="2"/>
      <c r="R223" s="2"/>
      <c r="S223" s="2"/>
      <c r="T223" s="2"/>
      <c r="U223" s="2"/>
      <c r="V223" s="2"/>
      <c r="W223" s="2"/>
      <c r="X223" s="2"/>
      <c r="Y223" s="2"/>
      <c r="Z223" s="2"/>
    </row>
    <row r="224" ht="15.75" customHeight="1">
      <c r="A224" s="1"/>
      <c r="B224" s="1"/>
      <c r="C224" s="1"/>
      <c r="D224" s="1"/>
      <c r="E224" s="1"/>
      <c r="F224" s="1"/>
      <c r="G224" s="2"/>
      <c r="H224" s="2"/>
      <c r="I224" s="2"/>
      <c r="J224" s="2"/>
      <c r="K224" s="2"/>
      <c r="L224" s="2"/>
      <c r="M224" s="2"/>
      <c r="N224" s="2"/>
      <c r="O224" s="2"/>
      <c r="P224" s="2"/>
      <c r="Q224" s="2"/>
      <c r="R224" s="2"/>
      <c r="S224" s="2"/>
      <c r="T224" s="2"/>
      <c r="U224" s="2"/>
      <c r="V224" s="2"/>
      <c r="W224" s="2"/>
      <c r="X224" s="2"/>
      <c r="Y224" s="2"/>
      <c r="Z224" s="2"/>
    </row>
    <row r="225" ht="15.75" customHeight="1">
      <c r="A225" s="1"/>
      <c r="B225" s="1"/>
      <c r="C225" s="1"/>
      <c r="D225" s="1"/>
      <c r="E225" s="1"/>
      <c r="F225" s="1"/>
      <c r="G225" s="2"/>
      <c r="H225" s="2"/>
      <c r="I225" s="2"/>
      <c r="J225" s="2"/>
      <c r="K225" s="2"/>
      <c r="L225" s="2"/>
      <c r="M225" s="2"/>
      <c r="N225" s="2"/>
      <c r="O225" s="2"/>
      <c r="P225" s="2"/>
      <c r="Q225" s="2"/>
      <c r="R225" s="2"/>
      <c r="S225" s="2"/>
      <c r="T225" s="2"/>
      <c r="U225" s="2"/>
      <c r="V225" s="2"/>
      <c r="W225" s="2"/>
      <c r="X225" s="2"/>
      <c r="Y225" s="2"/>
      <c r="Z225" s="2"/>
    </row>
    <row r="226" ht="15.75" customHeight="1">
      <c r="A226" s="1"/>
      <c r="B226" s="1"/>
      <c r="C226" s="1"/>
      <c r="D226" s="1"/>
      <c r="E226" s="1"/>
      <c r="F226" s="1"/>
      <c r="G226" s="2"/>
      <c r="H226" s="2"/>
      <c r="I226" s="2"/>
      <c r="J226" s="2"/>
      <c r="K226" s="2"/>
      <c r="L226" s="2"/>
      <c r="M226" s="2"/>
      <c r="N226" s="2"/>
      <c r="O226" s="2"/>
      <c r="P226" s="2"/>
      <c r="Q226" s="2"/>
      <c r="R226" s="2"/>
      <c r="S226" s="2"/>
      <c r="T226" s="2"/>
      <c r="U226" s="2"/>
      <c r="V226" s="2"/>
      <c r="W226" s="2"/>
      <c r="X226" s="2"/>
      <c r="Y226" s="2"/>
      <c r="Z226" s="2"/>
    </row>
    <row r="227" ht="15.75" customHeight="1">
      <c r="A227" s="1"/>
      <c r="B227" s="1"/>
      <c r="C227" s="1"/>
      <c r="D227" s="1"/>
      <c r="E227" s="1"/>
      <c r="F227" s="1"/>
      <c r="G227" s="2"/>
      <c r="H227" s="2"/>
      <c r="I227" s="2"/>
      <c r="J227" s="2"/>
      <c r="K227" s="2"/>
      <c r="L227" s="2"/>
      <c r="M227" s="2"/>
      <c r="N227" s="2"/>
      <c r="O227" s="2"/>
      <c r="P227" s="2"/>
      <c r="Q227" s="2"/>
      <c r="R227" s="2"/>
      <c r="S227" s="2"/>
      <c r="T227" s="2"/>
      <c r="U227" s="2"/>
      <c r="V227" s="2"/>
      <c r="W227" s="2"/>
      <c r="X227" s="2"/>
      <c r="Y227" s="2"/>
      <c r="Z227" s="2"/>
    </row>
    <row r="228" ht="15.75" customHeight="1">
      <c r="A228" s="1"/>
      <c r="B228" s="1"/>
      <c r="C228" s="1"/>
      <c r="D228" s="1"/>
      <c r="E228" s="1"/>
      <c r="F228" s="1"/>
      <c r="G228" s="2"/>
      <c r="H228" s="2"/>
      <c r="I228" s="2"/>
      <c r="J228" s="2"/>
      <c r="K228" s="2"/>
      <c r="L228" s="2"/>
      <c r="M228" s="2"/>
      <c r="N228" s="2"/>
      <c r="O228" s="2"/>
      <c r="P228" s="2"/>
      <c r="Q228" s="2"/>
      <c r="R228" s="2"/>
      <c r="S228" s="2"/>
      <c r="T228" s="2"/>
      <c r="U228" s="2"/>
      <c r="V228" s="2"/>
      <c r="W228" s="2"/>
      <c r="X228" s="2"/>
      <c r="Y228" s="2"/>
      <c r="Z228" s="2"/>
    </row>
    <row r="229" ht="15.75" customHeight="1">
      <c r="A229" s="1"/>
      <c r="B229" s="1"/>
      <c r="C229" s="1"/>
      <c r="D229" s="1"/>
      <c r="E229" s="1"/>
      <c r="F229" s="1"/>
      <c r="G229" s="2"/>
      <c r="H229" s="2"/>
      <c r="I229" s="2"/>
      <c r="J229" s="2"/>
      <c r="K229" s="2"/>
      <c r="L229" s="2"/>
      <c r="M229" s="2"/>
      <c r="N229" s="2"/>
      <c r="O229" s="2"/>
      <c r="P229" s="2"/>
      <c r="Q229" s="2"/>
      <c r="R229" s="2"/>
      <c r="S229" s="2"/>
      <c r="T229" s="2"/>
      <c r="U229" s="2"/>
      <c r="V229" s="2"/>
      <c r="W229" s="2"/>
      <c r="X229" s="2"/>
      <c r="Y229" s="2"/>
      <c r="Z229" s="2"/>
    </row>
    <row r="230" ht="15.75" customHeight="1">
      <c r="A230" s="1"/>
      <c r="B230" s="1"/>
      <c r="C230" s="1"/>
      <c r="D230" s="1"/>
      <c r="E230" s="1"/>
      <c r="F230" s="1"/>
      <c r="G230" s="2"/>
      <c r="H230" s="2"/>
      <c r="I230" s="2"/>
      <c r="J230" s="2"/>
      <c r="K230" s="2"/>
      <c r="L230" s="2"/>
      <c r="M230" s="2"/>
      <c r="N230" s="2"/>
      <c r="O230" s="2"/>
      <c r="P230" s="2"/>
      <c r="Q230" s="2"/>
      <c r="R230" s="2"/>
      <c r="S230" s="2"/>
      <c r="T230" s="2"/>
      <c r="U230" s="2"/>
      <c r="V230" s="2"/>
      <c r="W230" s="2"/>
      <c r="X230" s="2"/>
      <c r="Y230" s="2"/>
      <c r="Z230" s="2"/>
    </row>
    <row r="231" ht="15.75" customHeight="1">
      <c r="A231" s="1"/>
      <c r="B231" s="1"/>
      <c r="C231" s="1"/>
      <c r="D231" s="1"/>
      <c r="E231" s="1"/>
      <c r="F231" s="1"/>
      <c r="G231" s="2"/>
      <c r="H231" s="2"/>
      <c r="I231" s="2"/>
      <c r="J231" s="2"/>
      <c r="K231" s="2"/>
      <c r="L231" s="2"/>
      <c r="M231" s="2"/>
      <c r="N231" s="2"/>
      <c r="O231" s="2"/>
      <c r="P231" s="2"/>
      <c r="Q231" s="2"/>
      <c r="R231" s="2"/>
      <c r="S231" s="2"/>
      <c r="T231" s="2"/>
      <c r="U231" s="2"/>
      <c r="V231" s="2"/>
      <c r="W231" s="2"/>
      <c r="X231" s="2"/>
      <c r="Y231" s="2"/>
      <c r="Z231" s="2"/>
    </row>
    <row r="232" ht="15.75" customHeight="1">
      <c r="A232" s="1"/>
      <c r="B232" s="1"/>
      <c r="C232" s="1"/>
      <c r="D232" s="1"/>
      <c r="E232" s="1"/>
      <c r="F232" s="1"/>
      <c r="G232" s="2"/>
      <c r="H232" s="2"/>
      <c r="I232" s="2"/>
      <c r="J232" s="2"/>
      <c r="K232" s="2"/>
      <c r="L232" s="2"/>
      <c r="M232" s="2"/>
      <c r="N232" s="2"/>
      <c r="O232" s="2"/>
      <c r="P232" s="2"/>
      <c r="Q232" s="2"/>
      <c r="R232" s="2"/>
      <c r="S232" s="2"/>
      <c r="T232" s="2"/>
      <c r="U232" s="2"/>
      <c r="V232" s="2"/>
      <c r="W232" s="2"/>
      <c r="X232" s="2"/>
      <c r="Y232" s="2"/>
      <c r="Z232" s="2"/>
    </row>
    <row r="233" ht="15.75" customHeight="1">
      <c r="A233" s="1"/>
      <c r="B233" s="1"/>
      <c r="C233" s="1"/>
      <c r="D233" s="1"/>
      <c r="E233" s="1"/>
      <c r="F233" s="1"/>
      <c r="G233" s="2"/>
      <c r="H233" s="2"/>
      <c r="I233" s="2"/>
      <c r="J233" s="2"/>
      <c r="K233" s="2"/>
      <c r="L233" s="2"/>
      <c r="M233" s="2"/>
      <c r="N233" s="2"/>
      <c r="O233" s="2"/>
      <c r="P233" s="2"/>
      <c r="Q233" s="2"/>
      <c r="R233" s="2"/>
      <c r="S233" s="2"/>
      <c r="T233" s="2"/>
      <c r="U233" s="2"/>
      <c r="V233" s="2"/>
      <c r="W233" s="2"/>
      <c r="X233" s="2"/>
      <c r="Y233" s="2"/>
      <c r="Z233" s="2"/>
    </row>
    <row r="234" ht="15.75" customHeight="1">
      <c r="A234" s="1"/>
      <c r="B234" s="1"/>
      <c r="C234" s="1"/>
      <c r="D234" s="1"/>
      <c r="E234" s="1"/>
      <c r="F234" s="1"/>
      <c r="G234" s="2"/>
      <c r="H234" s="2"/>
      <c r="I234" s="2"/>
      <c r="J234" s="2"/>
      <c r="K234" s="2"/>
      <c r="L234" s="2"/>
      <c r="M234" s="2"/>
      <c r="N234" s="2"/>
      <c r="O234" s="2"/>
      <c r="P234" s="2"/>
      <c r="Q234" s="2"/>
      <c r="R234" s="2"/>
      <c r="S234" s="2"/>
      <c r="T234" s="2"/>
      <c r="U234" s="2"/>
      <c r="V234" s="2"/>
      <c r="W234" s="2"/>
      <c r="X234" s="2"/>
      <c r="Y234" s="2"/>
      <c r="Z234" s="2"/>
    </row>
    <row r="235" ht="15.75" customHeight="1">
      <c r="A235" s="1"/>
      <c r="B235" s="1"/>
      <c r="C235" s="1"/>
      <c r="D235" s="1"/>
      <c r="E235" s="1"/>
      <c r="F235" s="1"/>
      <c r="G235" s="2"/>
      <c r="H235" s="2"/>
      <c r="I235" s="2"/>
      <c r="J235" s="2"/>
      <c r="K235" s="2"/>
      <c r="L235" s="2"/>
      <c r="M235" s="2"/>
      <c r="N235" s="2"/>
      <c r="O235" s="2"/>
      <c r="P235" s="2"/>
      <c r="Q235" s="2"/>
      <c r="R235" s="2"/>
      <c r="S235" s="2"/>
      <c r="T235" s="2"/>
      <c r="U235" s="2"/>
      <c r="V235" s="2"/>
      <c r="W235" s="2"/>
      <c r="X235" s="2"/>
      <c r="Y235" s="2"/>
      <c r="Z235" s="2"/>
    </row>
    <row r="236" ht="15.75" customHeight="1">
      <c r="A236" s="1"/>
      <c r="B236" s="1"/>
      <c r="C236" s="1"/>
      <c r="D236" s="1"/>
      <c r="E236" s="1"/>
      <c r="F236" s="1"/>
      <c r="G236" s="2"/>
      <c r="H236" s="2"/>
      <c r="I236" s="2"/>
      <c r="J236" s="2"/>
      <c r="K236" s="2"/>
      <c r="L236" s="2"/>
      <c r="M236" s="2"/>
      <c r="N236" s="2"/>
      <c r="O236" s="2"/>
      <c r="P236" s="2"/>
      <c r="Q236" s="2"/>
      <c r="R236" s="2"/>
      <c r="S236" s="2"/>
      <c r="T236" s="2"/>
      <c r="U236" s="2"/>
      <c r="V236" s="2"/>
      <c r="W236" s="2"/>
      <c r="X236" s="2"/>
      <c r="Y236" s="2"/>
      <c r="Z236" s="2"/>
    </row>
    <row r="237" ht="15.75" customHeight="1">
      <c r="A237" s="1"/>
      <c r="B237" s="1"/>
      <c r="C237" s="1"/>
      <c r="D237" s="1"/>
      <c r="E237" s="1"/>
      <c r="F237" s="1"/>
      <c r="G237" s="2"/>
      <c r="H237" s="2"/>
      <c r="I237" s="2"/>
      <c r="J237" s="2"/>
      <c r="K237" s="2"/>
      <c r="L237" s="2"/>
      <c r="M237" s="2"/>
      <c r="N237" s="2"/>
      <c r="O237" s="2"/>
      <c r="P237" s="2"/>
      <c r="Q237" s="2"/>
      <c r="R237" s="2"/>
      <c r="S237" s="2"/>
      <c r="T237" s="2"/>
      <c r="U237" s="2"/>
      <c r="V237" s="2"/>
      <c r="W237" s="2"/>
      <c r="X237" s="2"/>
      <c r="Y237" s="2"/>
      <c r="Z237" s="2"/>
    </row>
    <row r="238" ht="15.75" customHeight="1">
      <c r="A238" s="1"/>
      <c r="B238" s="1"/>
      <c r="C238" s="1"/>
      <c r="D238" s="1"/>
      <c r="E238" s="1"/>
      <c r="F238" s="1"/>
      <c r="G238" s="2"/>
      <c r="H238" s="2"/>
      <c r="I238" s="2"/>
      <c r="J238" s="2"/>
      <c r="K238" s="2"/>
      <c r="L238" s="2"/>
      <c r="M238" s="2"/>
      <c r="N238" s="2"/>
      <c r="O238" s="2"/>
      <c r="P238" s="2"/>
      <c r="Q238" s="2"/>
      <c r="R238" s="2"/>
      <c r="S238" s="2"/>
      <c r="T238" s="2"/>
      <c r="U238" s="2"/>
      <c r="V238" s="2"/>
      <c r="W238" s="2"/>
      <c r="X238" s="2"/>
      <c r="Y238" s="2"/>
      <c r="Z238" s="2"/>
    </row>
    <row r="239" ht="15.75" customHeight="1">
      <c r="A239" s="1"/>
      <c r="B239" s="1"/>
      <c r="C239" s="1"/>
      <c r="D239" s="1"/>
      <c r="E239" s="1"/>
      <c r="F239" s="1"/>
      <c r="G239" s="2"/>
      <c r="H239" s="2"/>
      <c r="I239" s="2"/>
      <c r="J239" s="2"/>
      <c r="K239" s="2"/>
      <c r="L239" s="2"/>
      <c r="M239" s="2"/>
      <c r="N239" s="2"/>
      <c r="O239" s="2"/>
      <c r="P239" s="2"/>
      <c r="Q239" s="2"/>
      <c r="R239" s="2"/>
      <c r="S239" s="2"/>
      <c r="T239" s="2"/>
      <c r="U239" s="2"/>
      <c r="V239" s="2"/>
      <c r="W239" s="2"/>
      <c r="X239" s="2"/>
      <c r="Y239" s="2"/>
      <c r="Z239" s="2"/>
    </row>
    <row r="240" ht="15.75" customHeight="1">
      <c r="A240" s="1"/>
      <c r="B240" s="1"/>
      <c r="C240" s="1"/>
      <c r="D240" s="1"/>
      <c r="E240" s="1"/>
      <c r="F240" s="1"/>
      <c r="G240" s="2"/>
      <c r="H240" s="2"/>
      <c r="I240" s="2"/>
      <c r="J240" s="2"/>
      <c r="K240" s="2"/>
      <c r="L240" s="2"/>
      <c r="M240" s="2"/>
      <c r="N240" s="2"/>
      <c r="O240" s="2"/>
      <c r="P240" s="2"/>
      <c r="Q240" s="2"/>
      <c r="R240" s="2"/>
      <c r="S240" s="2"/>
      <c r="T240" s="2"/>
      <c r="U240" s="2"/>
      <c r="V240" s="2"/>
      <c r="W240" s="2"/>
      <c r="X240" s="2"/>
      <c r="Y240" s="2"/>
      <c r="Z240" s="2"/>
    </row>
    <row r="241" ht="15.75" customHeight="1">
      <c r="A241" s="1"/>
      <c r="B241" s="1"/>
      <c r="C241" s="1"/>
      <c r="D241" s="1"/>
      <c r="E241" s="1"/>
      <c r="F241" s="1"/>
      <c r="G241" s="2"/>
      <c r="H241" s="2"/>
      <c r="I241" s="2"/>
      <c r="J241" s="2"/>
      <c r="K241" s="2"/>
      <c r="L241" s="2"/>
      <c r="M241" s="2"/>
      <c r="N241" s="2"/>
      <c r="O241" s="2"/>
      <c r="P241" s="2"/>
      <c r="Q241" s="2"/>
      <c r="R241" s="2"/>
      <c r="S241" s="2"/>
      <c r="T241" s="2"/>
      <c r="U241" s="2"/>
      <c r="V241" s="2"/>
      <c r="W241" s="2"/>
      <c r="X241" s="2"/>
      <c r="Y241" s="2"/>
      <c r="Z241" s="2"/>
    </row>
    <row r="242" ht="15.75" customHeight="1">
      <c r="A242" s="1"/>
      <c r="B242" s="1"/>
      <c r="C242" s="1"/>
      <c r="D242" s="1"/>
      <c r="E242" s="1"/>
      <c r="F242" s="1"/>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0">
    <mergeCell ref="A36:F36"/>
    <mergeCell ref="A41:F41"/>
    <mergeCell ref="A42:F42"/>
    <mergeCell ref="A1:F1"/>
    <mergeCell ref="A2:F2"/>
    <mergeCell ref="A4:F4"/>
    <mergeCell ref="A12:F12"/>
    <mergeCell ref="A16:F16"/>
    <mergeCell ref="A25:F25"/>
    <mergeCell ref="A27:F27"/>
  </mergeCells>
  <conditionalFormatting sqref="F23">
    <cfRule type="cellIs" dxfId="1" priority="1" operator="greaterThan">
      <formula>B14</formula>
    </cfRule>
  </conditionalFormatting>
  <conditionalFormatting sqref="F23">
    <cfRule type="cellIs" dxfId="0" priority="2" operator="lessThanOrEqual">
      <formula>B14</formula>
    </cfRule>
  </conditionalFormatting>
  <conditionalFormatting sqref="F24">
    <cfRule type="cellIs" dxfId="1" priority="3" operator="lessThan">
      <formula>0</formula>
    </cfRule>
  </conditionalFormatting>
  <conditionalFormatting sqref="F24">
    <cfRule type="cellIs" dxfId="0" priority="4" operator="greaterThanOrEqual">
      <formula>0</formula>
    </cfRule>
  </conditionalFormatting>
  <conditionalFormatting sqref="F30">
    <cfRule type="cellIs" dxfId="1" priority="5" operator="notEqual">
      <formula>1</formula>
    </cfRule>
  </conditionalFormatting>
  <conditionalFormatting sqref="F37">
    <cfRule type="cellIs" dxfId="1" priority="6" operator="greaterThan">
      <formula>B14</formula>
    </cfRule>
  </conditionalFormatting>
  <conditionalFormatting sqref="F37">
    <cfRule type="cellIs" dxfId="0" priority="7" operator="lessThanOrEqual">
      <formula>B14</formula>
    </cfRule>
  </conditionalFormatting>
  <conditionalFormatting sqref="F38">
    <cfRule type="cellIs" dxfId="1" priority="8" operator="lessThan">
      <formula>0</formula>
    </cfRule>
  </conditionalFormatting>
  <conditionalFormatting sqref="F38">
    <cfRule type="cellIs" dxfId="0" priority="9" operator="greaterThanOrEqual">
      <formula>0</formula>
    </cfRule>
  </conditionalFormatting>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8.0"/>
    <col customWidth="1" min="3" max="3" width="10.0"/>
    <col customWidth="1" min="4" max="4" width="12.0"/>
    <col customWidth="1" min="5" max="5" width="10.0"/>
    <col customWidth="1" min="6" max="6" width="12.0"/>
    <col customWidth="1" min="7" max="7" width="13.0"/>
    <col customWidth="1" min="8" max="8" width="11.0"/>
    <col customWidth="1" min="9" max="9" width="12.71"/>
    <col customWidth="1" min="10" max="10" width="10.0"/>
    <col customWidth="1" min="11" max="11" width="13.0"/>
    <col customWidth="1" min="12" max="15" width="8.0"/>
    <col customWidth="1" min="16" max="17" width="9.0"/>
  </cols>
  <sheetData>
    <row r="1" ht="30.0" customHeight="1">
      <c r="A1" s="65" t="s">
        <v>167</v>
      </c>
      <c r="B1" s="65" t="s">
        <v>70</v>
      </c>
      <c r="C1" s="65" t="s">
        <v>40</v>
      </c>
      <c r="D1" s="65" t="s">
        <v>168</v>
      </c>
      <c r="E1" s="65" t="s">
        <v>169</v>
      </c>
      <c r="F1" s="65" t="s">
        <v>72</v>
      </c>
      <c r="G1" s="65" t="s">
        <v>170</v>
      </c>
      <c r="H1" s="65" t="s">
        <v>171</v>
      </c>
      <c r="I1" s="65" t="s">
        <v>74</v>
      </c>
      <c r="J1" s="65" t="s">
        <v>154</v>
      </c>
      <c r="K1" s="65" t="s">
        <v>75</v>
      </c>
      <c r="L1" s="65" t="s">
        <v>155</v>
      </c>
      <c r="M1" s="65" t="s">
        <v>172</v>
      </c>
      <c r="N1" s="65" t="s">
        <v>173</v>
      </c>
      <c r="O1" s="65" t="s">
        <v>174</v>
      </c>
      <c r="P1" s="65" t="s">
        <v>175</v>
      </c>
      <c r="Q1" s="65" t="s">
        <v>176</v>
      </c>
      <c r="R1" s="2"/>
      <c r="S1" s="2"/>
      <c r="T1" s="2"/>
      <c r="U1" s="2"/>
      <c r="V1" s="2"/>
      <c r="W1" s="2"/>
      <c r="X1" s="2"/>
      <c r="Y1" s="2"/>
      <c r="Z1" s="2"/>
    </row>
    <row r="2" ht="15.0" customHeight="1">
      <c r="A2" s="66" t="s">
        <v>177</v>
      </c>
      <c r="B2" s="66">
        <v>9.0</v>
      </c>
      <c r="C2" s="66" t="s">
        <v>50</v>
      </c>
      <c r="D2" s="67">
        <v>1.0</v>
      </c>
      <c r="E2" s="66"/>
      <c r="F2" s="68">
        <v>55000.0</v>
      </c>
      <c r="G2" s="69">
        <v>5208250.0</v>
      </c>
      <c r="H2" s="69">
        <v>20833.0</v>
      </c>
      <c r="I2" s="69">
        <v>2500.0</v>
      </c>
      <c r="J2" s="70">
        <f t="shared" ref="J2:J41" si="2">F2/I2</f>
        <v>22</v>
      </c>
      <c r="K2" s="71">
        <f>I2*'Unit Economics &amp; Calendar'!$C$3</f>
        <v>162500</v>
      </c>
      <c r="L2" s="72">
        <f t="shared" ref="L2:L41" si="3">F2/K2</f>
        <v>0.3384615385</v>
      </c>
      <c r="M2" s="73">
        <f t="shared" ref="M2:M41" si="4">K2/F2</f>
        <v>2.954545455</v>
      </c>
      <c r="N2" s="74">
        <f t="shared" ref="N2:O2" si="1">H2/G2</f>
        <v>0.004</v>
      </c>
      <c r="O2" s="74">
        <f t="shared" si="1"/>
        <v>0.12000192</v>
      </c>
      <c r="P2" s="70">
        <f t="shared" ref="P2:P41" si="6">F2/H2</f>
        <v>2.640042241</v>
      </c>
      <c r="Q2" s="70">
        <f t="shared" ref="Q2:Q41" si="7">F2/G2*1000</f>
        <v>10.56016896</v>
      </c>
      <c r="R2" s="2"/>
      <c r="S2" s="2"/>
      <c r="T2" s="2"/>
      <c r="U2" s="2"/>
      <c r="V2" s="2"/>
      <c r="W2" s="2"/>
      <c r="X2" s="2"/>
      <c r="Y2" s="2"/>
      <c r="Z2" s="2"/>
    </row>
    <row r="3" ht="15.0" customHeight="1">
      <c r="A3" s="75" t="s">
        <v>178</v>
      </c>
      <c r="B3" s="75">
        <v>10.0</v>
      </c>
      <c r="C3" s="75" t="s">
        <v>50</v>
      </c>
      <c r="D3" s="76">
        <v>0.95</v>
      </c>
      <c r="E3" s="75"/>
      <c r="F3" s="77">
        <v>76000.0</v>
      </c>
      <c r="G3" s="78">
        <v>7916750.0</v>
      </c>
      <c r="H3" s="78">
        <v>31667.0</v>
      </c>
      <c r="I3" s="78">
        <v>3800.0</v>
      </c>
      <c r="J3" s="79">
        <f t="shared" si="2"/>
        <v>20</v>
      </c>
      <c r="K3" s="80">
        <f>I3*'Unit Economics &amp; Calendar'!$C$3</f>
        <v>247000</v>
      </c>
      <c r="L3" s="81">
        <f t="shared" si="3"/>
        <v>0.3076923077</v>
      </c>
      <c r="M3" s="82">
        <f t="shared" si="4"/>
        <v>3.25</v>
      </c>
      <c r="N3" s="83">
        <f t="shared" ref="N3:O3" si="5">H3/G3</f>
        <v>0.004</v>
      </c>
      <c r="O3" s="83">
        <f t="shared" si="5"/>
        <v>0.1199987369</v>
      </c>
      <c r="P3" s="79">
        <f t="shared" si="6"/>
        <v>2.399974737</v>
      </c>
      <c r="Q3" s="79">
        <f t="shared" si="7"/>
        <v>9.599898948</v>
      </c>
      <c r="R3" s="2"/>
      <c r="S3" s="2"/>
      <c r="T3" s="2"/>
      <c r="U3" s="2"/>
      <c r="V3" s="2"/>
      <c r="W3" s="2"/>
      <c r="X3" s="2"/>
      <c r="Y3" s="2"/>
      <c r="Z3" s="2"/>
    </row>
    <row r="4" ht="15.0" customHeight="1">
      <c r="A4" s="66" t="s">
        <v>179</v>
      </c>
      <c r="B4" s="66">
        <v>11.0</v>
      </c>
      <c r="C4" s="66" t="s">
        <v>50</v>
      </c>
      <c r="D4" s="67">
        <v>1.05</v>
      </c>
      <c r="E4" s="66" t="s">
        <v>180</v>
      </c>
      <c r="F4" s="68">
        <v>93600.0</v>
      </c>
      <c r="G4" s="69">
        <v>1.0E7</v>
      </c>
      <c r="H4" s="69">
        <v>40000.0</v>
      </c>
      <c r="I4" s="69">
        <v>5200.0</v>
      </c>
      <c r="J4" s="70">
        <f t="shared" si="2"/>
        <v>18</v>
      </c>
      <c r="K4" s="71">
        <f>I4*'Unit Economics &amp; Calendar'!$C$3</f>
        <v>338000</v>
      </c>
      <c r="L4" s="72">
        <f t="shared" si="3"/>
        <v>0.2769230769</v>
      </c>
      <c r="M4" s="73">
        <f t="shared" si="4"/>
        <v>3.611111111</v>
      </c>
      <c r="N4" s="74">
        <f t="shared" ref="N4:O4" si="8">H4/G4</f>
        <v>0.004</v>
      </c>
      <c r="O4" s="74">
        <f t="shared" si="8"/>
        <v>0.13</v>
      </c>
      <c r="P4" s="70">
        <f t="shared" si="6"/>
        <v>2.34</v>
      </c>
      <c r="Q4" s="70">
        <f t="shared" si="7"/>
        <v>9.36</v>
      </c>
      <c r="R4" s="2"/>
      <c r="S4" s="2"/>
      <c r="T4" s="2"/>
      <c r="U4" s="2"/>
      <c r="V4" s="2"/>
      <c r="W4" s="2"/>
      <c r="X4" s="2"/>
      <c r="Y4" s="2"/>
      <c r="Z4" s="2"/>
    </row>
    <row r="5" ht="15.0" customHeight="1">
      <c r="A5" s="75" t="s">
        <v>181</v>
      </c>
      <c r="B5" s="75">
        <v>12.0</v>
      </c>
      <c r="C5" s="75" t="s">
        <v>50</v>
      </c>
      <c r="D5" s="76">
        <v>0.9</v>
      </c>
      <c r="E5" s="75"/>
      <c r="F5" s="77">
        <v>102000.0</v>
      </c>
      <c r="G5" s="78">
        <v>1.15385E7</v>
      </c>
      <c r="H5" s="78">
        <v>46154.0</v>
      </c>
      <c r="I5" s="78">
        <v>6000.0</v>
      </c>
      <c r="J5" s="79">
        <f t="shared" si="2"/>
        <v>17</v>
      </c>
      <c r="K5" s="80">
        <f>I5*'Unit Economics &amp; Calendar'!$C$3</f>
        <v>390000</v>
      </c>
      <c r="L5" s="81">
        <f t="shared" si="3"/>
        <v>0.2615384615</v>
      </c>
      <c r="M5" s="82">
        <f t="shared" si="4"/>
        <v>3.823529412</v>
      </c>
      <c r="N5" s="83">
        <f t="shared" ref="N5:O5" si="9">H5/G5</f>
        <v>0.004</v>
      </c>
      <c r="O5" s="83">
        <f t="shared" si="9"/>
        <v>0.1299995667</v>
      </c>
      <c r="P5" s="79">
        <f t="shared" si="6"/>
        <v>2.209992633</v>
      </c>
      <c r="Q5" s="79">
        <f t="shared" si="7"/>
        <v>8.839970533</v>
      </c>
      <c r="R5" s="2"/>
      <c r="S5" s="2"/>
      <c r="T5" s="2"/>
      <c r="U5" s="2"/>
      <c r="V5" s="2"/>
      <c r="W5" s="2"/>
      <c r="X5" s="2"/>
      <c r="Y5" s="2"/>
      <c r="Z5" s="2"/>
    </row>
    <row r="6" ht="15.0" customHeight="1">
      <c r="A6" s="66" t="s">
        <v>182</v>
      </c>
      <c r="B6" s="66">
        <v>1.0</v>
      </c>
      <c r="C6" s="66" t="s">
        <v>46</v>
      </c>
      <c r="D6" s="67">
        <v>0.85</v>
      </c>
      <c r="E6" s="66"/>
      <c r="F6" s="68">
        <v>104000.0</v>
      </c>
      <c r="G6" s="69">
        <v>3636375.0</v>
      </c>
      <c r="H6" s="69">
        <v>145455.0</v>
      </c>
      <c r="I6" s="69">
        <v>8000.0</v>
      </c>
      <c r="J6" s="70">
        <f t="shared" si="2"/>
        <v>13</v>
      </c>
      <c r="K6" s="71">
        <f>I6*'Unit Economics &amp; Calendar'!$C$3</f>
        <v>520000</v>
      </c>
      <c r="L6" s="72">
        <f t="shared" si="3"/>
        <v>0.2</v>
      </c>
      <c r="M6" s="73">
        <f t="shared" si="4"/>
        <v>5</v>
      </c>
      <c r="N6" s="74">
        <f t="shared" ref="N6:O6" si="10">H6/G6</f>
        <v>0.04</v>
      </c>
      <c r="O6" s="74">
        <f t="shared" si="10"/>
        <v>0.05499982813</v>
      </c>
      <c r="P6" s="70">
        <f t="shared" si="6"/>
        <v>0.7149977656</v>
      </c>
      <c r="Q6" s="70">
        <f t="shared" si="7"/>
        <v>28.59991063</v>
      </c>
      <c r="R6" s="2"/>
      <c r="S6" s="2"/>
      <c r="T6" s="2"/>
      <c r="U6" s="2"/>
      <c r="V6" s="2"/>
      <c r="W6" s="2"/>
      <c r="X6" s="2"/>
      <c r="Y6" s="2"/>
      <c r="Z6" s="2"/>
    </row>
    <row r="7" ht="15.0" customHeight="1">
      <c r="A7" s="75" t="s">
        <v>183</v>
      </c>
      <c r="B7" s="75">
        <v>2.0</v>
      </c>
      <c r="C7" s="75" t="s">
        <v>46</v>
      </c>
      <c r="D7" s="76">
        <v>0.9</v>
      </c>
      <c r="E7" s="75"/>
      <c r="F7" s="77">
        <v>106600.0</v>
      </c>
      <c r="G7" s="78">
        <v>3727275.0</v>
      </c>
      <c r="H7" s="78">
        <v>149091.0</v>
      </c>
      <c r="I7" s="78">
        <v>8200.0</v>
      </c>
      <c r="J7" s="79">
        <f t="shared" si="2"/>
        <v>13</v>
      </c>
      <c r="K7" s="80">
        <f>I7*'Unit Economics &amp; Calendar'!$C$3</f>
        <v>533000</v>
      </c>
      <c r="L7" s="81">
        <f t="shared" si="3"/>
        <v>0.2</v>
      </c>
      <c r="M7" s="82">
        <f t="shared" si="4"/>
        <v>5</v>
      </c>
      <c r="N7" s="83">
        <f t="shared" ref="N7:O7" si="11">H7/G7</f>
        <v>0.04</v>
      </c>
      <c r="O7" s="83">
        <f t="shared" si="11"/>
        <v>0.05499996646</v>
      </c>
      <c r="P7" s="79">
        <f t="shared" si="6"/>
        <v>0.714999564</v>
      </c>
      <c r="Q7" s="79">
        <f t="shared" si="7"/>
        <v>28.59998256</v>
      </c>
      <c r="R7" s="2"/>
      <c r="S7" s="2"/>
      <c r="T7" s="2"/>
      <c r="U7" s="2"/>
      <c r="V7" s="2"/>
      <c r="W7" s="2"/>
      <c r="X7" s="2"/>
      <c r="Y7" s="2"/>
      <c r="Z7" s="2"/>
    </row>
    <row r="8" ht="15.0" customHeight="1">
      <c r="A8" s="66" t="s">
        <v>184</v>
      </c>
      <c r="B8" s="66">
        <v>3.0</v>
      </c>
      <c r="C8" s="66" t="s">
        <v>46</v>
      </c>
      <c r="D8" s="67">
        <v>0.95</v>
      </c>
      <c r="E8" s="66"/>
      <c r="F8" s="68">
        <v>119000.0</v>
      </c>
      <c r="G8" s="69">
        <v>3935175.0</v>
      </c>
      <c r="H8" s="69">
        <v>157407.0</v>
      </c>
      <c r="I8" s="69">
        <v>8500.0</v>
      </c>
      <c r="J8" s="70">
        <f t="shared" si="2"/>
        <v>14</v>
      </c>
      <c r="K8" s="71">
        <f>I8*'Unit Economics &amp; Calendar'!$C$3</f>
        <v>552500</v>
      </c>
      <c r="L8" s="72">
        <f t="shared" si="3"/>
        <v>0.2153846154</v>
      </c>
      <c r="M8" s="73">
        <f t="shared" si="4"/>
        <v>4.642857143</v>
      </c>
      <c r="N8" s="74">
        <f t="shared" ref="N8:O8" si="12">H8/G8</f>
        <v>0.04</v>
      </c>
      <c r="O8" s="74">
        <f t="shared" si="12"/>
        <v>0.05400013977</v>
      </c>
      <c r="P8" s="70">
        <f t="shared" si="6"/>
        <v>0.7560019567</v>
      </c>
      <c r="Q8" s="70">
        <f t="shared" si="7"/>
        <v>30.24007827</v>
      </c>
      <c r="R8" s="2"/>
      <c r="S8" s="2"/>
      <c r="T8" s="2"/>
      <c r="U8" s="2"/>
      <c r="V8" s="2"/>
      <c r="W8" s="2"/>
      <c r="X8" s="2"/>
      <c r="Y8" s="2"/>
      <c r="Z8" s="2"/>
    </row>
    <row r="9" ht="15.0" customHeight="1">
      <c r="A9" s="75" t="s">
        <v>185</v>
      </c>
      <c r="B9" s="75">
        <v>4.0</v>
      </c>
      <c r="C9" s="75" t="s">
        <v>46</v>
      </c>
      <c r="D9" s="76">
        <v>1.05</v>
      </c>
      <c r="E9" s="75"/>
      <c r="F9" s="77">
        <v>126000.0</v>
      </c>
      <c r="G9" s="78">
        <v>4166675.0</v>
      </c>
      <c r="H9" s="78">
        <v>166667.0</v>
      </c>
      <c r="I9" s="78">
        <v>9000.0</v>
      </c>
      <c r="J9" s="79">
        <f t="shared" si="2"/>
        <v>14</v>
      </c>
      <c r="K9" s="80">
        <f>I9*'Unit Economics &amp; Calendar'!$C$3</f>
        <v>585000</v>
      </c>
      <c r="L9" s="81">
        <f t="shared" si="3"/>
        <v>0.2153846154</v>
      </c>
      <c r="M9" s="82">
        <f t="shared" si="4"/>
        <v>4.642857143</v>
      </c>
      <c r="N9" s="83">
        <f t="shared" ref="N9:O9" si="13">H9/G9</f>
        <v>0.04</v>
      </c>
      <c r="O9" s="83">
        <f t="shared" si="13"/>
        <v>0.053999892</v>
      </c>
      <c r="P9" s="79">
        <f t="shared" si="6"/>
        <v>0.755998488</v>
      </c>
      <c r="Q9" s="79">
        <f t="shared" si="7"/>
        <v>30.23993952</v>
      </c>
      <c r="R9" s="2"/>
      <c r="S9" s="2"/>
      <c r="T9" s="2"/>
      <c r="U9" s="2"/>
      <c r="V9" s="2"/>
      <c r="W9" s="2"/>
      <c r="X9" s="2"/>
      <c r="Y9" s="2"/>
      <c r="Z9" s="2"/>
    </row>
    <row r="10" ht="15.0" customHeight="1">
      <c r="A10" s="66" t="s">
        <v>186</v>
      </c>
      <c r="B10" s="66">
        <v>5.0</v>
      </c>
      <c r="C10" s="66" t="s">
        <v>46</v>
      </c>
      <c r="D10" s="67">
        <v>1.5</v>
      </c>
      <c r="E10" s="66" t="s">
        <v>187</v>
      </c>
      <c r="F10" s="68">
        <v>138000.0</v>
      </c>
      <c r="G10" s="69">
        <v>5133925.0</v>
      </c>
      <c r="H10" s="69">
        <v>205357.0</v>
      </c>
      <c r="I10" s="69">
        <v>11500.0</v>
      </c>
      <c r="J10" s="70">
        <f t="shared" si="2"/>
        <v>12</v>
      </c>
      <c r="K10" s="71">
        <f>I10*'Unit Economics &amp; Calendar'!$C$3</f>
        <v>747500</v>
      </c>
      <c r="L10" s="72">
        <f t="shared" si="3"/>
        <v>0.1846153846</v>
      </c>
      <c r="M10" s="73">
        <f t="shared" si="4"/>
        <v>5.416666667</v>
      </c>
      <c r="N10" s="74">
        <f t="shared" ref="N10:O10" si="14">H10/G10</f>
        <v>0.04</v>
      </c>
      <c r="O10" s="74">
        <f t="shared" si="14"/>
        <v>0.05600003896</v>
      </c>
      <c r="P10" s="70">
        <f t="shared" si="6"/>
        <v>0.6720004675</v>
      </c>
      <c r="Q10" s="70">
        <f t="shared" si="7"/>
        <v>26.8800187</v>
      </c>
      <c r="R10" s="2"/>
      <c r="S10" s="2"/>
      <c r="T10" s="2"/>
      <c r="U10" s="2"/>
      <c r="V10" s="2"/>
      <c r="W10" s="2"/>
      <c r="X10" s="2"/>
      <c r="Y10" s="2"/>
      <c r="Z10" s="2"/>
    </row>
    <row r="11" ht="15.0" customHeight="1">
      <c r="A11" s="75" t="s">
        <v>188</v>
      </c>
      <c r="B11" s="75">
        <v>6.0</v>
      </c>
      <c r="C11" s="75" t="s">
        <v>46</v>
      </c>
      <c r="D11" s="76">
        <v>1.7</v>
      </c>
      <c r="E11" s="75" t="s">
        <v>189</v>
      </c>
      <c r="F11" s="77">
        <v>162500.0</v>
      </c>
      <c r="G11" s="78">
        <v>5681825.0</v>
      </c>
      <c r="H11" s="78">
        <v>227273.0</v>
      </c>
      <c r="I11" s="78">
        <v>12500.0</v>
      </c>
      <c r="J11" s="79">
        <f t="shared" si="2"/>
        <v>13</v>
      </c>
      <c r="K11" s="80">
        <f>I11*'Unit Economics &amp; Calendar'!$C$3</f>
        <v>812500</v>
      </c>
      <c r="L11" s="81">
        <f t="shared" si="3"/>
        <v>0.2</v>
      </c>
      <c r="M11" s="82">
        <f t="shared" si="4"/>
        <v>5</v>
      </c>
      <c r="N11" s="83">
        <f t="shared" ref="N11:O11" si="15">H11/G11</f>
        <v>0.04</v>
      </c>
      <c r="O11" s="83">
        <f t="shared" si="15"/>
        <v>0.054999934</v>
      </c>
      <c r="P11" s="79">
        <f t="shared" si="6"/>
        <v>0.714999142</v>
      </c>
      <c r="Q11" s="79">
        <f t="shared" si="7"/>
        <v>28.59996568</v>
      </c>
      <c r="R11" s="2"/>
      <c r="S11" s="2"/>
      <c r="T11" s="2"/>
      <c r="U11" s="2"/>
      <c r="V11" s="2"/>
      <c r="W11" s="2"/>
      <c r="X11" s="2"/>
      <c r="Y11" s="2"/>
      <c r="Z11" s="2"/>
    </row>
    <row r="12" ht="15.0" customHeight="1">
      <c r="A12" s="66" t="s">
        <v>190</v>
      </c>
      <c r="B12" s="66">
        <v>7.0</v>
      </c>
      <c r="C12" s="66" t="s">
        <v>46</v>
      </c>
      <c r="D12" s="67">
        <v>1.2</v>
      </c>
      <c r="E12" s="66" t="s">
        <v>191</v>
      </c>
      <c r="F12" s="68">
        <v>147000.0</v>
      </c>
      <c r="G12" s="69">
        <v>4952825.0</v>
      </c>
      <c r="H12" s="69">
        <v>198113.0</v>
      </c>
      <c r="I12" s="69">
        <v>10500.0</v>
      </c>
      <c r="J12" s="70">
        <f t="shared" si="2"/>
        <v>14</v>
      </c>
      <c r="K12" s="71">
        <f>I12*'Unit Economics &amp; Calendar'!$C$3</f>
        <v>682500</v>
      </c>
      <c r="L12" s="72">
        <f t="shared" si="3"/>
        <v>0.2153846154</v>
      </c>
      <c r="M12" s="73">
        <f t="shared" si="4"/>
        <v>4.642857143</v>
      </c>
      <c r="N12" s="74">
        <f t="shared" ref="N12:O12" si="16">H12/G12</f>
        <v>0.04</v>
      </c>
      <c r="O12" s="74">
        <f t="shared" si="16"/>
        <v>0.05300005552</v>
      </c>
      <c r="P12" s="70">
        <f t="shared" si="6"/>
        <v>0.7420007773</v>
      </c>
      <c r="Q12" s="70">
        <f t="shared" si="7"/>
        <v>29.68003109</v>
      </c>
      <c r="R12" s="2"/>
      <c r="S12" s="2"/>
      <c r="T12" s="2"/>
      <c r="U12" s="2"/>
      <c r="V12" s="2"/>
      <c r="W12" s="2"/>
      <c r="X12" s="2"/>
      <c r="Y12" s="2"/>
      <c r="Z12" s="2"/>
    </row>
    <row r="13" ht="15.0" customHeight="1">
      <c r="A13" s="75" t="s">
        <v>192</v>
      </c>
      <c r="B13" s="75">
        <v>8.0</v>
      </c>
      <c r="C13" s="75" t="s">
        <v>46</v>
      </c>
      <c r="D13" s="76">
        <v>1.0</v>
      </c>
      <c r="E13" s="75"/>
      <c r="F13" s="77">
        <v>138000.0</v>
      </c>
      <c r="G13" s="78">
        <v>4423075.0</v>
      </c>
      <c r="H13" s="78">
        <v>176923.0</v>
      </c>
      <c r="I13" s="78">
        <v>9200.0</v>
      </c>
      <c r="J13" s="79">
        <f t="shared" si="2"/>
        <v>15</v>
      </c>
      <c r="K13" s="80">
        <f>I13*'Unit Economics &amp; Calendar'!$C$3</f>
        <v>598000</v>
      </c>
      <c r="L13" s="81">
        <f t="shared" si="3"/>
        <v>0.2307692308</v>
      </c>
      <c r="M13" s="82">
        <f t="shared" si="4"/>
        <v>4.333333333</v>
      </c>
      <c r="N13" s="83">
        <f t="shared" ref="N13:O13" si="17">H13/G13</f>
        <v>0.04</v>
      </c>
      <c r="O13" s="83">
        <f t="shared" si="17"/>
        <v>0.05200002261</v>
      </c>
      <c r="P13" s="79">
        <f t="shared" si="6"/>
        <v>0.7800003391</v>
      </c>
      <c r="Q13" s="79">
        <f t="shared" si="7"/>
        <v>31.20001357</v>
      </c>
      <c r="R13" s="2"/>
      <c r="S13" s="2"/>
      <c r="T13" s="2"/>
      <c r="U13" s="2"/>
      <c r="V13" s="2"/>
      <c r="W13" s="2"/>
      <c r="X13" s="2"/>
      <c r="Y13" s="2"/>
      <c r="Z13" s="2"/>
    </row>
    <row r="14" ht="15.0" customHeight="1">
      <c r="A14" s="66" t="s">
        <v>177</v>
      </c>
      <c r="B14" s="66">
        <v>9.0</v>
      </c>
      <c r="C14" s="66" t="s">
        <v>46</v>
      </c>
      <c r="D14" s="67">
        <v>1.0</v>
      </c>
      <c r="E14" s="66"/>
      <c r="F14" s="68">
        <v>139500.0</v>
      </c>
      <c r="G14" s="69">
        <v>4471150.0</v>
      </c>
      <c r="H14" s="69">
        <v>178846.0</v>
      </c>
      <c r="I14" s="69">
        <v>9300.0</v>
      </c>
      <c r="J14" s="70">
        <f t="shared" si="2"/>
        <v>15</v>
      </c>
      <c r="K14" s="71">
        <f>I14*'Unit Economics &amp; Calendar'!$C$3</f>
        <v>604500</v>
      </c>
      <c r="L14" s="72">
        <f t="shared" si="3"/>
        <v>0.2307692308</v>
      </c>
      <c r="M14" s="73">
        <f t="shared" si="4"/>
        <v>4.333333333</v>
      </c>
      <c r="N14" s="74">
        <f t="shared" ref="N14:O14" si="18">H14/G14</f>
        <v>0.04</v>
      </c>
      <c r="O14" s="74">
        <f t="shared" si="18"/>
        <v>0.05200004473</v>
      </c>
      <c r="P14" s="70">
        <f t="shared" si="6"/>
        <v>0.780000671</v>
      </c>
      <c r="Q14" s="70">
        <f t="shared" si="7"/>
        <v>31.20002684</v>
      </c>
      <c r="R14" s="2"/>
      <c r="S14" s="2"/>
      <c r="T14" s="2"/>
      <c r="U14" s="2"/>
      <c r="V14" s="2"/>
      <c r="W14" s="2"/>
      <c r="X14" s="2"/>
      <c r="Y14" s="2"/>
      <c r="Z14" s="2"/>
    </row>
    <row r="15" ht="15.0" customHeight="1">
      <c r="A15" s="75" t="s">
        <v>178</v>
      </c>
      <c r="B15" s="75">
        <v>10.0</v>
      </c>
      <c r="C15" s="75" t="s">
        <v>46</v>
      </c>
      <c r="D15" s="76">
        <v>0.95</v>
      </c>
      <c r="E15" s="75"/>
      <c r="F15" s="77">
        <v>144000.0</v>
      </c>
      <c r="G15" s="78">
        <v>4411775.0</v>
      </c>
      <c r="H15" s="78">
        <v>176471.0</v>
      </c>
      <c r="I15" s="78">
        <v>9000.0</v>
      </c>
      <c r="J15" s="79">
        <f t="shared" si="2"/>
        <v>16</v>
      </c>
      <c r="K15" s="80">
        <f>I15*'Unit Economics &amp; Calendar'!$C$3</f>
        <v>585000</v>
      </c>
      <c r="L15" s="81">
        <f t="shared" si="3"/>
        <v>0.2461538462</v>
      </c>
      <c r="M15" s="82">
        <f t="shared" si="4"/>
        <v>4.0625</v>
      </c>
      <c r="N15" s="83">
        <f t="shared" ref="N15:O15" si="19">H15/G15</f>
        <v>0.04</v>
      </c>
      <c r="O15" s="83">
        <f t="shared" si="19"/>
        <v>0.050999881</v>
      </c>
      <c r="P15" s="79">
        <f t="shared" si="6"/>
        <v>0.815998096</v>
      </c>
      <c r="Q15" s="79">
        <f t="shared" si="7"/>
        <v>32.63992384</v>
      </c>
      <c r="R15" s="2"/>
      <c r="S15" s="2"/>
      <c r="T15" s="2"/>
      <c r="U15" s="2"/>
      <c r="V15" s="2"/>
      <c r="W15" s="2"/>
      <c r="X15" s="2"/>
      <c r="Y15" s="2"/>
      <c r="Z15" s="2"/>
    </row>
    <row r="16" ht="15.0" customHeight="1">
      <c r="A16" s="66" t="s">
        <v>179</v>
      </c>
      <c r="B16" s="66">
        <v>11.0</v>
      </c>
      <c r="C16" s="66" t="s">
        <v>46</v>
      </c>
      <c r="D16" s="67">
        <v>1.05</v>
      </c>
      <c r="E16" s="66" t="s">
        <v>180</v>
      </c>
      <c r="F16" s="68">
        <v>144000.0</v>
      </c>
      <c r="G16" s="69">
        <v>4615375.0</v>
      </c>
      <c r="H16" s="69">
        <v>184615.0</v>
      </c>
      <c r="I16" s="69">
        <v>9600.0</v>
      </c>
      <c r="J16" s="70">
        <f t="shared" si="2"/>
        <v>15</v>
      </c>
      <c r="K16" s="71">
        <f>I16*'Unit Economics &amp; Calendar'!$C$3</f>
        <v>624000</v>
      </c>
      <c r="L16" s="72">
        <f t="shared" si="3"/>
        <v>0.2307692308</v>
      </c>
      <c r="M16" s="73">
        <f t="shared" si="4"/>
        <v>4.333333333</v>
      </c>
      <c r="N16" s="74">
        <f t="shared" ref="N16:O16" si="20">H16/G16</f>
        <v>0.04</v>
      </c>
      <c r="O16" s="74">
        <f t="shared" si="20"/>
        <v>0.05200010833</v>
      </c>
      <c r="P16" s="70">
        <f t="shared" si="6"/>
        <v>0.780001625</v>
      </c>
      <c r="Q16" s="70">
        <f t="shared" si="7"/>
        <v>31.200065</v>
      </c>
      <c r="R16" s="2"/>
      <c r="S16" s="2"/>
      <c r="T16" s="2"/>
      <c r="U16" s="2"/>
      <c r="V16" s="2"/>
      <c r="W16" s="2"/>
      <c r="X16" s="2"/>
      <c r="Y16" s="2"/>
      <c r="Z16" s="2"/>
    </row>
    <row r="17" ht="15.0" customHeight="1">
      <c r="A17" s="75" t="s">
        <v>181</v>
      </c>
      <c r="B17" s="75">
        <v>12.0</v>
      </c>
      <c r="C17" s="75" t="s">
        <v>46</v>
      </c>
      <c r="D17" s="76">
        <v>0.9</v>
      </c>
      <c r="E17" s="75"/>
      <c r="F17" s="77">
        <v>146200.0</v>
      </c>
      <c r="G17" s="78">
        <v>4300000.0</v>
      </c>
      <c r="H17" s="78">
        <v>172000.0</v>
      </c>
      <c r="I17" s="78">
        <v>8600.0</v>
      </c>
      <c r="J17" s="79">
        <f t="shared" si="2"/>
        <v>17</v>
      </c>
      <c r="K17" s="80">
        <f>I17*'Unit Economics &amp; Calendar'!$C$3</f>
        <v>559000</v>
      </c>
      <c r="L17" s="81">
        <f t="shared" si="3"/>
        <v>0.2615384615</v>
      </c>
      <c r="M17" s="82">
        <f t="shared" si="4"/>
        <v>3.823529412</v>
      </c>
      <c r="N17" s="83">
        <f t="shared" ref="N17:O17" si="21">H17/G17</f>
        <v>0.04</v>
      </c>
      <c r="O17" s="83">
        <f t="shared" si="21"/>
        <v>0.05</v>
      </c>
      <c r="P17" s="79">
        <f t="shared" si="6"/>
        <v>0.85</v>
      </c>
      <c r="Q17" s="79">
        <f t="shared" si="7"/>
        <v>34</v>
      </c>
      <c r="R17" s="2"/>
      <c r="S17" s="2"/>
      <c r="T17" s="2"/>
      <c r="U17" s="2"/>
      <c r="V17" s="2"/>
      <c r="W17" s="2"/>
      <c r="X17" s="2"/>
      <c r="Y17" s="2"/>
      <c r="Z17" s="2"/>
    </row>
    <row r="18" ht="15.0" customHeight="1">
      <c r="A18" s="66" t="s">
        <v>182</v>
      </c>
      <c r="B18" s="66">
        <v>1.0</v>
      </c>
      <c r="C18" s="66" t="s">
        <v>44</v>
      </c>
      <c r="D18" s="67">
        <v>0.85</v>
      </c>
      <c r="E18" s="66"/>
      <c r="F18" s="68">
        <v>264000.0</v>
      </c>
      <c r="G18" s="69">
        <v>4.9586818E7</v>
      </c>
      <c r="H18" s="69">
        <v>545455.0</v>
      </c>
      <c r="I18" s="69">
        <v>12000.0</v>
      </c>
      <c r="J18" s="70">
        <f t="shared" si="2"/>
        <v>22</v>
      </c>
      <c r="K18" s="71">
        <f>I18*'Unit Economics &amp; Calendar'!$C$3</f>
        <v>780000</v>
      </c>
      <c r="L18" s="72">
        <f t="shared" si="3"/>
        <v>0.3384615385</v>
      </c>
      <c r="M18" s="73">
        <f t="shared" si="4"/>
        <v>2.954545455</v>
      </c>
      <c r="N18" s="74">
        <f t="shared" ref="N18:O18" si="22">H18/G18</f>
        <v>0.01100000004</v>
      </c>
      <c r="O18" s="74">
        <f t="shared" si="22"/>
        <v>0.02199998167</v>
      </c>
      <c r="P18" s="70">
        <f t="shared" si="6"/>
        <v>0.4839995967</v>
      </c>
      <c r="Q18" s="70">
        <f t="shared" si="7"/>
        <v>5.323995583</v>
      </c>
      <c r="R18" s="2"/>
      <c r="S18" s="2"/>
      <c r="T18" s="2"/>
      <c r="U18" s="2"/>
      <c r="V18" s="2"/>
      <c r="W18" s="2"/>
      <c r="X18" s="2"/>
      <c r="Y18" s="2"/>
      <c r="Z18" s="2"/>
    </row>
    <row r="19" ht="15.0" customHeight="1">
      <c r="A19" s="75" t="s">
        <v>183</v>
      </c>
      <c r="B19" s="75">
        <v>2.0</v>
      </c>
      <c r="C19" s="75" t="s">
        <v>44</v>
      </c>
      <c r="D19" s="76">
        <v>0.9</v>
      </c>
      <c r="E19" s="75"/>
      <c r="F19" s="77">
        <v>294400.0</v>
      </c>
      <c r="G19" s="78">
        <v>5.2892545E7</v>
      </c>
      <c r="H19" s="78">
        <v>581818.0</v>
      </c>
      <c r="I19" s="78">
        <v>12800.0</v>
      </c>
      <c r="J19" s="79">
        <f t="shared" si="2"/>
        <v>23</v>
      </c>
      <c r="K19" s="80">
        <f>I19*'Unit Economics &amp; Calendar'!$C$3</f>
        <v>832000</v>
      </c>
      <c r="L19" s="81">
        <f t="shared" si="3"/>
        <v>0.3538461538</v>
      </c>
      <c r="M19" s="82">
        <f t="shared" si="4"/>
        <v>2.826086957</v>
      </c>
      <c r="N19" s="83">
        <f t="shared" ref="N19:O19" si="23">H19/G19</f>
        <v>0.01100000009</v>
      </c>
      <c r="O19" s="83">
        <f t="shared" si="23"/>
        <v>0.02200000688</v>
      </c>
      <c r="P19" s="79">
        <f t="shared" si="6"/>
        <v>0.5060001581</v>
      </c>
      <c r="Q19" s="79">
        <f t="shared" si="7"/>
        <v>5.566001787</v>
      </c>
      <c r="R19" s="2"/>
      <c r="S19" s="2"/>
      <c r="T19" s="2"/>
      <c r="U19" s="2"/>
      <c r="V19" s="2"/>
      <c r="W19" s="2"/>
      <c r="X19" s="2"/>
      <c r="Y19" s="2"/>
      <c r="Z19" s="2"/>
    </row>
    <row r="20" ht="15.0" customHeight="1">
      <c r="A20" s="66" t="s">
        <v>184</v>
      </c>
      <c r="B20" s="66">
        <v>3.0</v>
      </c>
      <c r="C20" s="66" t="s">
        <v>44</v>
      </c>
      <c r="D20" s="67">
        <v>0.95</v>
      </c>
      <c r="E20" s="66"/>
      <c r="F20" s="68">
        <v>324000.0</v>
      </c>
      <c r="G20" s="69">
        <v>5.8441545E7</v>
      </c>
      <c r="H20" s="69">
        <v>642857.0</v>
      </c>
      <c r="I20" s="69">
        <v>13500.0</v>
      </c>
      <c r="J20" s="70">
        <f t="shared" si="2"/>
        <v>24</v>
      </c>
      <c r="K20" s="71">
        <f>I20*'Unit Economics &amp; Calendar'!$C$3</f>
        <v>877500</v>
      </c>
      <c r="L20" s="72">
        <f t="shared" si="3"/>
        <v>0.3692307692</v>
      </c>
      <c r="M20" s="73">
        <f t="shared" si="4"/>
        <v>2.708333333</v>
      </c>
      <c r="N20" s="74">
        <f t="shared" ref="N20:O20" si="24">H20/G20</f>
        <v>0.01100000009</v>
      </c>
      <c r="O20" s="74">
        <f t="shared" si="24"/>
        <v>0.02100000467</v>
      </c>
      <c r="P20" s="70">
        <f t="shared" si="6"/>
        <v>0.504000112</v>
      </c>
      <c r="Q20" s="70">
        <f t="shared" si="7"/>
        <v>5.544001275</v>
      </c>
      <c r="R20" s="2"/>
      <c r="S20" s="2"/>
      <c r="T20" s="2"/>
      <c r="U20" s="2"/>
      <c r="V20" s="2"/>
      <c r="W20" s="2"/>
      <c r="X20" s="2"/>
      <c r="Y20" s="2"/>
      <c r="Z20" s="2"/>
    </row>
    <row r="21" ht="15.0" customHeight="1">
      <c r="A21" s="75" t="s">
        <v>185</v>
      </c>
      <c r="B21" s="75">
        <v>4.0</v>
      </c>
      <c r="C21" s="75" t="s">
        <v>44</v>
      </c>
      <c r="D21" s="76">
        <v>1.05</v>
      </c>
      <c r="E21" s="75"/>
      <c r="F21" s="77">
        <v>375000.0</v>
      </c>
      <c r="G21" s="78">
        <v>7.14286E7</v>
      </c>
      <c r="H21" s="78">
        <v>714286.0</v>
      </c>
      <c r="I21" s="78">
        <v>15000.0</v>
      </c>
      <c r="J21" s="79">
        <f t="shared" si="2"/>
        <v>25</v>
      </c>
      <c r="K21" s="80">
        <f>I21*'Unit Economics &amp; Calendar'!$C$3</f>
        <v>975000</v>
      </c>
      <c r="L21" s="81">
        <f t="shared" si="3"/>
        <v>0.3846153846</v>
      </c>
      <c r="M21" s="82">
        <f t="shared" si="4"/>
        <v>2.6</v>
      </c>
      <c r="N21" s="83">
        <f t="shared" ref="N21:O21" si="25">H21/G21</f>
        <v>0.01</v>
      </c>
      <c r="O21" s="83">
        <f t="shared" si="25"/>
        <v>0.0209999916</v>
      </c>
      <c r="P21" s="79">
        <f t="shared" si="6"/>
        <v>0.52499979</v>
      </c>
      <c r="Q21" s="79">
        <f t="shared" si="7"/>
        <v>5.2499979</v>
      </c>
      <c r="R21" s="2"/>
      <c r="S21" s="2"/>
      <c r="T21" s="2"/>
      <c r="U21" s="2"/>
      <c r="V21" s="2"/>
      <c r="W21" s="2"/>
      <c r="X21" s="2"/>
      <c r="Y21" s="2"/>
      <c r="Z21" s="2"/>
    </row>
    <row r="22" ht="15.0" customHeight="1">
      <c r="A22" s="66" t="s">
        <v>186</v>
      </c>
      <c r="B22" s="66">
        <v>5.0</v>
      </c>
      <c r="C22" s="66" t="s">
        <v>44</v>
      </c>
      <c r="D22" s="67">
        <v>1.5</v>
      </c>
      <c r="E22" s="66" t="s">
        <v>187</v>
      </c>
      <c r="F22" s="68">
        <v>462000.0</v>
      </c>
      <c r="G22" s="69">
        <v>8.6776818E7</v>
      </c>
      <c r="H22" s="69">
        <v>954545.0</v>
      </c>
      <c r="I22" s="69">
        <v>21000.0</v>
      </c>
      <c r="J22" s="70">
        <f t="shared" si="2"/>
        <v>22</v>
      </c>
      <c r="K22" s="71">
        <f>I22*'Unit Economics &amp; Calendar'!$C$3</f>
        <v>1365000</v>
      </c>
      <c r="L22" s="72">
        <f t="shared" si="3"/>
        <v>0.3384615385</v>
      </c>
      <c r="M22" s="73">
        <f t="shared" si="4"/>
        <v>2.954545455</v>
      </c>
      <c r="N22" s="74">
        <f t="shared" ref="N22:O22" si="26">H22/G22</f>
        <v>0.01100000002</v>
      </c>
      <c r="O22" s="74">
        <f t="shared" si="26"/>
        <v>0.02200001048</v>
      </c>
      <c r="P22" s="70">
        <f t="shared" si="6"/>
        <v>0.4840002305</v>
      </c>
      <c r="Q22" s="70">
        <f t="shared" si="7"/>
        <v>5.324002546</v>
      </c>
      <c r="R22" s="2"/>
      <c r="S22" s="2"/>
      <c r="T22" s="2"/>
      <c r="U22" s="2"/>
      <c r="V22" s="2"/>
      <c r="W22" s="2"/>
      <c r="X22" s="2"/>
      <c r="Y22" s="2"/>
      <c r="Z22" s="2"/>
    </row>
    <row r="23" ht="15.0" customHeight="1">
      <c r="A23" s="75" t="s">
        <v>188</v>
      </c>
      <c r="B23" s="75">
        <v>6.0</v>
      </c>
      <c r="C23" s="75" t="s">
        <v>44</v>
      </c>
      <c r="D23" s="76">
        <v>1.7</v>
      </c>
      <c r="E23" s="75" t="s">
        <v>189</v>
      </c>
      <c r="F23" s="77">
        <v>552000.0</v>
      </c>
      <c r="G23" s="78">
        <v>9.9173545E7</v>
      </c>
      <c r="H23" s="78">
        <v>1090909.0</v>
      </c>
      <c r="I23" s="78">
        <v>24000.0</v>
      </c>
      <c r="J23" s="79">
        <f t="shared" si="2"/>
        <v>23</v>
      </c>
      <c r="K23" s="80">
        <f>I23*'Unit Economics &amp; Calendar'!$C$3</f>
        <v>1560000</v>
      </c>
      <c r="L23" s="81">
        <f t="shared" si="3"/>
        <v>0.3538461538</v>
      </c>
      <c r="M23" s="82">
        <f t="shared" si="4"/>
        <v>2.826086957</v>
      </c>
      <c r="N23" s="83">
        <f t="shared" ref="N23:O23" si="27">H23/G23</f>
        <v>0.01100000005</v>
      </c>
      <c r="O23" s="83">
        <f t="shared" si="27"/>
        <v>0.02200000183</v>
      </c>
      <c r="P23" s="79">
        <f t="shared" si="6"/>
        <v>0.5060000422</v>
      </c>
      <c r="Q23" s="79">
        <f t="shared" si="7"/>
        <v>5.566000489</v>
      </c>
      <c r="R23" s="2"/>
      <c r="S23" s="2"/>
      <c r="T23" s="2"/>
      <c r="U23" s="2"/>
      <c r="V23" s="2"/>
      <c r="W23" s="2"/>
      <c r="X23" s="2"/>
      <c r="Y23" s="2"/>
      <c r="Z23" s="2"/>
    </row>
    <row r="24" ht="15.0" customHeight="1">
      <c r="A24" s="66" t="s">
        <v>190</v>
      </c>
      <c r="B24" s="66">
        <v>7.0</v>
      </c>
      <c r="C24" s="66" t="s">
        <v>44</v>
      </c>
      <c r="D24" s="67">
        <v>1.2</v>
      </c>
      <c r="E24" s="66" t="s">
        <v>191</v>
      </c>
      <c r="F24" s="68">
        <v>442000.0</v>
      </c>
      <c r="G24" s="69">
        <v>8.5E7</v>
      </c>
      <c r="H24" s="69">
        <v>850000.0</v>
      </c>
      <c r="I24" s="69">
        <v>17000.0</v>
      </c>
      <c r="J24" s="70">
        <f t="shared" si="2"/>
        <v>26</v>
      </c>
      <c r="K24" s="71">
        <f>I24*'Unit Economics &amp; Calendar'!$C$3</f>
        <v>1105000</v>
      </c>
      <c r="L24" s="72">
        <f t="shared" si="3"/>
        <v>0.4</v>
      </c>
      <c r="M24" s="73">
        <f t="shared" si="4"/>
        <v>2.5</v>
      </c>
      <c r="N24" s="74">
        <f t="shared" ref="N24:O24" si="28">H24/G24</f>
        <v>0.01</v>
      </c>
      <c r="O24" s="74">
        <f t="shared" si="28"/>
        <v>0.02</v>
      </c>
      <c r="P24" s="70">
        <f t="shared" si="6"/>
        <v>0.52</v>
      </c>
      <c r="Q24" s="70">
        <f t="shared" si="7"/>
        <v>5.2</v>
      </c>
      <c r="R24" s="2"/>
      <c r="S24" s="2"/>
      <c r="T24" s="2"/>
      <c r="U24" s="2"/>
      <c r="V24" s="2"/>
      <c r="W24" s="2"/>
      <c r="X24" s="2"/>
      <c r="Y24" s="2"/>
      <c r="Z24" s="2"/>
    </row>
    <row r="25" ht="15.0" customHeight="1">
      <c r="A25" s="75" t="s">
        <v>192</v>
      </c>
      <c r="B25" s="75">
        <v>8.0</v>
      </c>
      <c r="C25" s="75" t="s">
        <v>44</v>
      </c>
      <c r="D25" s="76">
        <v>1.0</v>
      </c>
      <c r="E25" s="75"/>
      <c r="F25" s="77">
        <v>378000.0</v>
      </c>
      <c r="G25" s="78">
        <v>7.0E7</v>
      </c>
      <c r="H25" s="78">
        <v>700000.0</v>
      </c>
      <c r="I25" s="78">
        <v>14000.0</v>
      </c>
      <c r="J25" s="79">
        <f t="shared" si="2"/>
        <v>27</v>
      </c>
      <c r="K25" s="80">
        <f>I25*'Unit Economics &amp; Calendar'!$C$3</f>
        <v>910000</v>
      </c>
      <c r="L25" s="81">
        <f t="shared" si="3"/>
        <v>0.4153846154</v>
      </c>
      <c r="M25" s="82">
        <f t="shared" si="4"/>
        <v>2.407407407</v>
      </c>
      <c r="N25" s="83">
        <f t="shared" ref="N25:O25" si="29">H25/G25</f>
        <v>0.01</v>
      </c>
      <c r="O25" s="83">
        <f t="shared" si="29"/>
        <v>0.02</v>
      </c>
      <c r="P25" s="79">
        <f t="shared" si="6"/>
        <v>0.54</v>
      </c>
      <c r="Q25" s="79">
        <f t="shared" si="7"/>
        <v>5.4</v>
      </c>
      <c r="R25" s="2"/>
      <c r="S25" s="2"/>
      <c r="T25" s="2"/>
      <c r="U25" s="2"/>
      <c r="V25" s="2"/>
      <c r="W25" s="2"/>
      <c r="X25" s="2"/>
      <c r="Y25" s="2"/>
      <c r="Z25" s="2"/>
    </row>
    <row r="26" ht="15.0" customHeight="1">
      <c r="A26" s="66" t="s">
        <v>177</v>
      </c>
      <c r="B26" s="66">
        <v>9.0</v>
      </c>
      <c r="C26" s="66" t="s">
        <v>44</v>
      </c>
      <c r="D26" s="67">
        <v>1.0</v>
      </c>
      <c r="E26" s="66"/>
      <c r="F26" s="68">
        <v>397600.0</v>
      </c>
      <c r="G26" s="69">
        <v>7.47368E7</v>
      </c>
      <c r="H26" s="69">
        <v>747368.0</v>
      </c>
      <c r="I26" s="69">
        <v>14200.0</v>
      </c>
      <c r="J26" s="70">
        <f t="shared" si="2"/>
        <v>28</v>
      </c>
      <c r="K26" s="71">
        <f>I26*'Unit Economics &amp; Calendar'!$C$3</f>
        <v>923000</v>
      </c>
      <c r="L26" s="72">
        <f t="shared" si="3"/>
        <v>0.4307692308</v>
      </c>
      <c r="M26" s="73">
        <f t="shared" si="4"/>
        <v>2.321428571</v>
      </c>
      <c r="N26" s="74">
        <f t="shared" ref="N26:O26" si="30">H26/G26</f>
        <v>0.01</v>
      </c>
      <c r="O26" s="74">
        <f t="shared" si="30"/>
        <v>0.0190000107</v>
      </c>
      <c r="P26" s="70">
        <f t="shared" si="6"/>
        <v>0.5320002997</v>
      </c>
      <c r="Q26" s="70">
        <f t="shared" si="7"/>
        <v>5.320002997</v>
      </c>
      <c r="R26" s="2"/>
      <c r="S26" s="2"/>
      <c r="T26" s="2"/>
      <c r="U26" s="2"/>
      <c r="V26" s="2"/>
      <c r="W26" s="2"/>
      <c r="X26" s="2"/>
      <c r="Y26" s="2"/>
      <c r="Z26" s="2"/>
    </row>
    <row r="27" ht="15.0" customHeight="1">
      <c r="A27" s="75" t="s">
        <v>178</v>
      </c>
      <c r="B27" s="75">
        <v>10.0</v>
      </c>
      <c r="C27" s="75" t="s">
        <v>44</v>
      </c>
      <c r="D27" s="76">
        <v>0.95</v>
      </c>
      <c r="E27" s="75"/>
      <c r="F27" s="77">
        <v>405000.0</v>
      </c>
      <c r="G27" s="78">
        <v>7.4792211E7</v>
      </c>
      <c r="H27" s="78">
        <v>710526.0</v>
      </c>
      <c r="I27" s="78">
        <v>13500.0</v>
      </c>
      <c r="J27" s="79">
        <f t="shared" si="2"/>
        <v>30</v>
      </c>
      <c r="K27" s="80">
        <f>I27*'Unit Economics &amp; Calendar'!$C$3</f>
        <v>877500</v>
      </c>
      <c r="L27" s="81">
        <f t="shared" si="3"/>
        <v>0.4615384615</v>
      </c>
      <c r="M27" s="82">
        <f t="shared" si="4"/>
        <v>2.166666667</v>
      </c>
      <c r="N27" s="83">
        <f t="shared" ref="N27:O27" si="31">H27/G27</f>
        <v>0.00949999994</v>
      </c>
      <c r="O27" s="83">
        <f t="shared" si="31"/>
        <v>0.01900000844</v>
      </c>
      <c r="P27" s="79">
        <f t="shared" si="6"/>
        <v>0.5700002533</v>
      </c>
      <c r="Q27" s="79">
        <f t="shared" si="7"/>
        <v>5.415002372</v>
      </c>
      <c r="R27" s="2"/>
      <c r="S27" s="2"/>
      <c r="T27" s="2"/>
      <c r="U27" s="2"/>
      <c r="V27" s="2"/>
      <c r="W27" s="2"/>
      <c r="X27" s="2"/>
      <c r="Y27" s="2"/>
      <c r="Z27" s="2"/>
    </row>
    <row r="28" ht="15.0" customHeight="1">
      <c r="A28" s="66" t="s">
        <v>179</v>
      </c>
      <c r="B28" s="66">
        <v>11.0</v>
      </c>
      <c r="C28" s="66" t="s">
        <v>44</v>
      </c>
      <c r="D28" s="67">
        <v>1.05</v>
      </c>
      <c r="E28" s="66" t="s">
        <v>180</v>
      </c>
      <c r="F28" s="68">
        <v>429200.0</v>
      </c>
      <c r="G28" s="69">
        <v>8.1994421E7</v>
      </c>
      <c r="H28" s="69">
        <v>778947.0</v>
      </c>
      <c r="I28" s="69">
        <v>14800.0</v>
      </c>
      <c r="J28" s="70">
        <f t="shared" si="2"/>
        <v>29</v>
      </c>
      <c r="K28" s="71">
        <f>I28*'Unit Economics &amp; Calendar'!$C$3</f>
        <v>962000</v>
      </c>
      <c r="L28" s="72">
        <f t="shared" si="3"/>
        <v>0.4461538462</v>
      </c>
      <c r="M28" s="73">
        <f t="shared" si="4"/>
        <v>2.24137931</v>
      </c>
      <c r="N28" s="74">
        <f t="shared" ref="N28:O28" si="32">H28/G28</f>
        <v>0.009500000006</v>
      </c>
      <c r="O28" s="74">
        <f t="shared" si="32"/>
        <v>0.01900000899</v>
      </c>
      <c r="P28" s="70">
        <f t="shared" si="6"/>
        <v>0.5510002606</v>
      </c>
      <c r="Q28" s="70">
        <f t="shared" si="7"/>
        <v>5.234502479</v>
      </c>
      <c r="R28" s="2"/>
      <c r="S28" s="2"/>
      <c r="T28" s="2"/>
      <c r="U28" s="2"/>
      <c r="V28" s="2"/>
      <c r="W28" s="2"/>
      <c r="X28" s="2"/>
      <c r="Y28" s="2"/>
      <c r="Z28" s="2"/>
    </row>
    <row r="29" ht="15.0" customHeight="1">
      <c r="A29" s="75" t="s">
        <v>181</v>
      </c>
      <c r="B29" s="75">
        <v>12.0</v>
      </c>
      <c r="C29" s="75" t="s">
        <v>44</v>
      </c>
      <c r="D29" s="76">
        <v>0.9</v>
      </c>
      <c r="E29" s="75"/>
      <c r="F29" s="77">
        <v>396800.0</v>
      </c>
      <c r="G29" s="78">
        <v>7.9012333E7</v>
      </c>
      <c r="H29" s="78">
        <v>711111.0</v>
      </c>
      <c r="I29" s="78">
        <v>12800.0</v>
      </c>
      <c r="J29" s="79">
        <f t="shared" si="2"/>
        <v>31</v>
      </c>
      <c r="K29" s="80">
        <f>I29*'Unit Economics &amp; Calendar'!$C$3</f>
        <v>832000</v>
      </c>
      <c r="L29" s="81">
        <f t="shared" si="3"/>
        <v>0.4769230769</v>
      </c>
      <c r="M29" s="82">
        <f t="shared" si="4"/>
        <v>2.096774194</v>
      </c>
      <c r="N29" s="83">
        <f t="shared" ref="N29:O29" si="33">H29/G29</f>
        <v>0.009000000038</v>
      </c>
      <c r="O29" s="83">
        <f t="shared" si="33"/>
        <v>0.01800000281</v>
      </c>
      <c r="P29" s="79">
        <f t="shared" si="6"/>
        <v>0.5580000872</v>
      </c>
      <c r="Q29" s="79">
        <f t="shared" si="7"/>
        <v>5.022000806</v>
      </c>
      <c r="R29" s="2"/>
      <c r="S29" s="2"/>
      <c r="T29" s="2"/>
      <c r="U29" s="2"/>
      <c r="V29" s="2"/>
      <c r="W29" s="2"/>
      <c r="X29" s="2"/>
      <c r="Y29" s="2"/>
      <c r="Z29" s="2"/>
    </row>
    <row r="30" ht="15.0" customHeight="1">
      <c r="A30" s="66" t="s">
        <v>182</v>
      </c>
      <c r="B30" s="66">
        <v>1.0</v>
      </c>
      <c r="C30" s="66" t="s">
        <v>48</v>
      </c>
      <c r="D30" s="67">
        <v>0.85</v>
      </c>
      <c r="E30" s="66"/>
      <c r="F30" s="68">
        <v>39600.0</v>
      </c>
      <c r="G30" s="69">
        <v>1.25E7</v>
      </c>
      <c r="H30" s="69">
        <v>100000.0</v>
      </c>
      <c r="I30" s="69">
        <v>900.0</v>
      </c>
      <c r="J30" s="70">
        <f t="shared" si="2"/>
        <v>44</v>
      </c>
      <c r="K30" s="71">
        <f>I30*'Unit Economics &amp; Calendar'!$C$3</f>
        <v>58500</v>
      </c>
      <c r="L30" s="72">
        <f t="shared" si="3"/>
        <v>0.6769230769</v>
      </c>
      <c r="M30" s="73">
        <f t="shared" si="4"/>
        <v>1.477272727</v>
      </c>
      <c r="N30" s="74">
        <f t="shared" ref="N30:O30" si="34">H30/G30</f>
        <v>0.008</v>
      </c>
      <c r="O30" s="74">
        <f t="shared" si="34"/>
        <v>0.009</v>
      </c>
      <c r="P30" s="70">
        <f t="shared" si="6"/>
        <v>0.396</v>
      </c>
      <c r="Q30" s="70">
        <f t="shared" si="7"/>
        <v>3.168</v>
      </c>
      <c r="R30" s="2"/>
      <c r="S30" s="2"/>
      <c r="T30" s="2"/>
      <c r="U30" s="2"/>
      <c r="V30" s="2"/>
      <c r="W30" s="2"/>
      <c r="X30" s="2"/>
      <c r="Y30" s="2"/>
      <c r="Z30" s="2"/>
    </row>
    <row r="31" ht="15.0" customHeight="1">
      <c r="A31" s="75" t="s">
        <v>183</v>
      </c>
      <c r="B31" s="75">
        <v>2.0</v>
      </c>
      <c r="C31" s="75" t="s">
        <v>48</v>
      </c>
      <c r="D31" s="76">
        <v>0.9</v>
      </c>
      <c r="E31" s="75"/>
      <c r="F31" s="77">
        <v>42000.0</v>
      </c>
      <c r="G31" s="78">
        <v>1.3157875E7</v>
      </c>
      <c r="H31" s="78">
        <v>105263.0</v>
      </c>
      <c r="I31" s="78">
        <v>1000.0</v>
      </c>
      <c r="J31" s="79">
        <f t="shared" si="2"/>
        <v>42</v>
      </c>
      <c r="K31" s="80">
        <f>I31*'Unit Economics &amp; Calendar'!$C$3</f>
        <v>65000</v>
      </c>
      <c r="L31" s="81">
        <f t="shared" si="3"/>
        <v>0.6461538462</v>
      </c>
      <c r="M31" s="82">
        <f t="shared" si="4"/>
        <v>1.547619048</v>
      </c>
      <c r="N31" s="83">
        <f t="shared" ref="N31:O31" si="35">H31/G31</f>
        <v>0.008</v>
      </c>
      <c r="O31" s="83">
        <f t="shared" si="35"/>
        <v>0.00950001425</v>
      </c>
      <c r="P31" s="79">
        <f t="shared" si="6"/>
        <v>0.3990005985</v>
      </c>
      <c r="Q31" s="79">
        <f t="shared" si="7"/>
        <v>3.192004788</v>
      </c>
      <c r="R31" s="2"/>
      <c r="S31" s="2"/>
      <c r="T31" s="2"/>
      <c r="U31" s="2"/>
      <c r="V31" s="2"/>
      <c r="W31" s="2"/>
      <c r="X31" s="2"/>
      <c r="Y31" s="2"/>
      <c r="Z31" s="2"/>
    </row>
    <row r="32" ht="15.0" customHeight="1">
      <c r="A32" s="66" t="s">
        <v>184</v>
      </c>
      <c r="B32" s="66">
        <v>3.0</v>
      </c>
      <c r="C32" s="66" t="s">
        <v>48</v>
      </c>
      <c r="D32" s="67">
        <v>0.95</v>
      </c>
      <c r="E32" s="66"/>
      <c r="F32" s="68">
        <v>46000.0</v>
      </c>
      <c r="G32" s="69">
        <v>1.4375E7</v>
      </c>
      <c r="H32" s="69">
        <v>115000.0</v>
      </c>
      <c r="I32" s="69">
        <v>1150.0</v>
      </c>
      <c r="J32" s="70">
        <f t="shared" si="2"/>
        <v>40</v>
      </c>
      <c r="K32" s="71">
        <f>I32*'Unit Economics &amp; Calendar'!$C$3</f>
        <v>74750</v>
      </c>
      <c r="L32" s="72">
        <f t="shared" si="3"/>
        <v>0.6153846154</v>
      </c>
      <c r="M32" s="73">
        <f t="shared" si="4"/>
        <v>1.625</v>
      </c>
      <c r="N32" s="74">
        <f t="shared" ref="N32:O32" si="36">H32/G32</f>
        <v>0.008</v>
      </c>
      <c r="O32" s="74">
        <f t="shared" si="36"/>
        <v>0.01</v>
      </c>
      <c r="P32" s="70">
        <f t="shared" si="6"/>
        <v>0.4</v>
      </c>
      <c r="Q32" s="70">
        <f t="shared" si="7"/>
        <v>3.2</v>
      </c>
      <c r="R32" s="2"/>
      <c r="S32" s="2"/>
      <c r="T32" s="2"/>
      <c r="U32" s="2"/>
      <c r="V32" s="2"/>
      <c r="W32" s="2"/>
      <c r="X32" s="2"/>
      <c r="Y32" s="2"/>
      <c r="Z32" s="2"/>
    </row>
    <row r="33" ht="15.0" customHeight="1">
      <c r="A33" s="75" t="s">
        <v>185</v>
      </c>
      <c r="B33" s="75">
        <v>4.0</v>
      </c>
      <c r="C33" s="75" t="s">
        <v>48</v>
      </c>
      <c r="D33" s="76">
        <v>1.05</v>
      </c>
      <c r="E33" s="75"/>
      <c r="F33" s="77">
        <v>49400.0</v>
      </c>
      <c r="G33" s="78">
        <v>1.547625E7</v>
      </c>
      <c r="H33" s="78">
        <v>123810.0</v>
      </c>
      <c r="I33" s="78">
        <v>1300.0</v>
      </c>
      <c r="J33" s="79">
        <f t="shared" si="2"/>
        <v>38</v>
      </c>
      <c r="K33" s="80">
        <f>I33*'Unit Economics &amp; Calendar'!$C$3</f>
        <v>84500</v>
      </c>
      <c r="L33" s="81">
        <f t="shared" si="3"/>
        <v>0.5846153846</v>
      </c>
      <c r="M33" s="82">
        <f t="shared" si="4"/>
        <v>1.710526316</v>
      </c>
      <c r="N33" s="83">
        <f t="shared" ref="N33:O33" si="37">H33/G33</f>
        <v>0.008</v>
      </c>
      <c r="O33" s="83">
        <f t="shared" si="37"/>
        <v>0.01049995962</v>
      </c>
      <c r="P33" s="79">
        <f t="shared" si="6"/>
        <v>0.3989984654</v>
      </c>
      <c r="Q33" s="79">
        <f t="shared" si="7"/>
        <v>3.191987723</v>
      </c>
      <c r="R33" s="2"/>
      <c r="S33" s="2"/>
      <c r="T33" s="2"/>
      <c r="U33" s="2"/>
      <c r="V33" s="2"/>
      <c r="W33" s="2"/>
      <c r="X33" s="2"/>
      <c r="Y33" s="2"/>
      <c r="Z33" s="2"/>
    </row>
    <row r="34" ht="15.0" customHeight="1">
      <c r="A34" s="66" t="s">
        <v>186</v>
      </c>
      <c r="B34" s="66">
        <v>5.0</v>
      </c>
      <c r="C34" s="66" t="s">
        <v>48</v>
      </c>
      <c r="D34" s="67">
        <v>1.5</v>
      </c>
      <c r="E34" s="66" t="s">
        <v>187</v>
      </c>
      <c r="F34" s="68">
        <v>62700.0</v>
      </c>
      <c r="G34" s="69">
        <v>2.1590875E7</v>
      </c>
      <c r="H34" s="69">
        <v>172727.0</v>
      </c>
      <c r="I34" s="69">
        <v>1900.0</v>
      </c>
      <c r="J34" s="70">
        <f t="shared" si="2"/>
        <v>33</v>
      </c>
      <c r="K34" s="71">
        <f>I34*'Unit Economics &amp; Calendar'!$C$3</f>
        <v>123500</v>
      </c>
      <c r="L34" s="72">
        <f t="shared" si="3"/>
        <v>0.5076923077</v>
      </c>
      <c r="M34" s="73">
        <f t="shared" si="4"/>
        <v>1.96969697</v>
      </c>
      <c r="N34" s="74">
        <f t="shared" ref="N34:O34" si="38">H34/G34</f>
        <v>0.008</v>
      </c>
      <c r="O34" s="74">
        <f t="shared" si="38"/>
        <v>0.01100001737</v>
      </c>
      <c r="P34" s="70">
        <f t="shared" si="6"/>
        <v>0.3630005732</v>
      </c>
      <c r="Q34" s="70">
        <f t="shared" si="7"/>
        <v>2.904004585</v>
      </c>
      <c r="R34" s="2"/>
      <c r="S34" s="2"/>
      <c r="T34" s="2"/>
      <c r="U34" s="2"/>
      <c r="V34" s="2"/>
      <c r="W34" s="2"/>
      <c r="X34" s="2"/>
      <c r="Y34" s="2"/>
      <c r="Z34" s="2"/>
    </row>
    <row r="35" ht="15.0" customHeight="1">
      <c r="A35" s="75" t="s">
        <v>188</v>
      </c>
      <c r="B35" s="75">
        <v>6.0</v>
      </c>
      <c r="C35" s="75" t="s">
        <v>48</v>
      </c>
      <c r="D35" s="76">
        <v>1.7</v>
      </c>
      <c r="E35" s="75" t="s">
        <v>189</v>
      </c>
      <c r="F35" s="77">
        <v>73500.0</v>
      </c>
      <c r="G35" s="78">
        <v>2.3863625E7</v>
      </c>
      <c r="H35" s="78">
        <v>190909.0</v>
      </c>
      <c r="I35" s="78">
        <v>2100.0</v>
      </c>
      <c r="J35" s="79">
        <f t="shared" si="2"/>
        <v>35</v>
      </c>
      <c r="K35" s="80">
        <f>I35*'Unit Economics &amp; Calendar'!$C$3</f>
        <v>136500</v>
      </c>
      <c r="L35" s="81">
        <f t="shared" si="3"/>
        <v>0.5384615385</v>
      </c>
      <c r="M35" s="82">
        <f t="shared" si="4"/>
        <v>1.857142857</v>
      </c>
      <c r="N35" s="83">
        <f t="shared" ref="N35:O35" si="39">H35/G35</f>
        <v>0.008</v>
      </c>
      <c r="O35" s="83">
        <f t="shared" si="39"/>
        <v>0.01100000524</v>
      </c>
      <c r="P35" s="79">
        <f t="shared" si="6"/>
        <v>0.3850001833</v>
      </c>
      <c r="Q35" s="79">
        <f t="shared" si="7"/>
        <v>3.080001467</v>
      </c>
      <c r="R35" s="2"/>
      <c r="S35" s="2"/>
      <c r="T35" s="2"/>
      <c r="U35" s="2"/>
      <c r="V35" s="2"/>
      <c r="W35" s="2"/>
      <c r="X35" s="2"/>
      <c r="Y35" s="2"/>
      <c r="Z35" s="2"/>
    </row>
    <row r="36" ht="15.0" customHeight="1">
      <c r="A36" s="66" t="s">
        <v>190</v>
      </c>
      <c r="B36" s="66">
        <v>7.0</v>
      </c>
      <c r="C36" s="66" t="s">
        <v>48</v>
      </c>
      <c r="D36" s="67">
        <v>1.2</v>
      </c>
      <c r="E36" s="66" t="s">
        <v>191</v>
      </c>
      <c r="F36" s="68">
        <v>54400.0</v>
      </c>
      <c r="G36" s="69">
        <v>1.7708375E7</v>
      </c>
      <c r="H36" s="69">
        <v>141667.0</v>
      </c>
      <c r="I36" s="69">
        <v>1700.0</v>
      </c>
      <c r="J36" s="70">
        <f t="shared" si="2"/>
        <v>32</v>
      </c>
      <c r="K36" s="71">
        <f>I36*'Unit Economics &amp; Calendar'!$C$3</f>
        <v>110500</v>
      </c>
      <c r="L36" s="72">
        <f t="shared" si="3"/>
        <v>0.4923076923</v>
      </c>
      <c r="M36" s="73">
        <f t="shared" si="4"/>
        <v>2.03125</v>
      </c>
      <c r="N36" s="74">
        <f t="shared" ref="N36:O36" si="40">H36/G36</f>
        <v>0.008</v>
      </c>
      <c r="O36" s="74">
        <f t="shared" si="40"/>
        <v>0.01199997176</v>
      </c>
      <c r="P36" s="70">
        <f t="shared" si="6"/>
        <v>0.3839990965</v>
      </c>
      <c r="Q36" s="70">
        <f t="shared" si="7"/>
        <v>3.071992772</v>
      </c>
      <c r="R36" s="2"/>
      <c r="S36" s="2"/>
      <c r="T36" s="2"/>
      <c r="U36" s="2"/>
      <c r="V36" s="2"/>
      <c r="W36" s="2"/>
      <c r="X36" s="2"/>
      <c r="Y36" s="2"/>
      <c r="Z36" s="2"/>
    </row>
    <row r="37" ht="15.0" customHeight="1">
      <c r="A37" s="75" t="s">
        <v>192</v>
      </c>
      <c r="B37" s="75">
        <v>8.0</v>
      </c>
      <c r="C37" s="75" t="s">
        <v>48</v>
      </c>
      <c r="D37" s="76">
        <v>1.0</v>
      </c>
      <c r="E37" s="75"/>
      <c r="F37" s="77">
        <v>49600.0</v>
      </c>
      <c r="G37" s="78">
        <v>1.6666625E7</v>
      </c>
      <c r="H37" s="78">
        <v>133333.0</v>
      </c>
      <c r="I37" s="78">
        <v>1600.0</v>
      </c>
      <c r="J37" s="79">
        <f t="shared" si="2"/>
        <v>31</v>
      </c>
      <c r="K37" s="80">
        <f>I37*'Unit Economics &amp; Calendar'!$C$3</f>
        <v>104000</v>
      </c>
      <c r="L37" s="81">
        <f t="shared" si="3"/>
        <v>0.4769230769</v>
      </c>
      <c r="M37" s="82">
        <f t="shared" si="4"/>
        <v>2.096774194</v>
      </c>
      <c r="N37" s="83">
        <f t="shared" ref="N37:O37" si="41">H37/G37</f>
        <v>0.008</v>
      </c>
      <c r="O37" s="83">
        <f t="shared" si="41"/>
        <v>0.01200003</v>
      </c>
      <c r="P37" s="79">
        <f t="shared" si="6"/>
        <v>0.37200093</v>
      </c>
      <c r="Q37" s="79">
        <f t="shared" si="7"/>
        <v>2.97600744</v>
      </c>
      <c r="R37" s="2"/>
      <c r="S37" s="2"/>
      <c r="T37" s="2"/>
      <c r="U37" s="2"/>
      <c r="V37" s="2"/>
      <c r="W37" s="2"/>
      <c r="X37" s="2"/>
      <c r="Y37" s="2"/>
      <c r="Z37" s="2"/>
    </row>
    <row r="38" ht="15.0" customHeight="1">
      <c r="A38" s="66" t="s">
        <v>177</v>
      </c>
      <c r="B38" s="66">
        <v>9.0</v>
      </c>
      <c r="C38" s="66" t="s">
        <v>48</v>
      </c>
      <c r="D38" s="67">
        <v>1.0</v>
      </c>
      <c r="E38" s="66"/>
      <c r="F38" s="68">
        <v>52500.0</v>
      </c>
      <c r="G38" s="69">
        <v>1.6826875E7</v>
      </c>
      <c r="H38" s="69">
        <v>134615.0</v>
      </c>
      <c r="I38" s="69">
        <v>1750.0</v>
      </c>
      <c r="J38" s="70">
        <f t="shared" si="2"/>
        <v>30</v>
      </c>
      <c r="K38" s="71">
        <f>I38*'Unit Economics &amp; Calendar'!$C$3</f>
        <v>113750</v>
      </c>
      <c r="L38" s="72">
        <f t="shared" si="3"/>
        <v>0.4615384615</v>
      </c>
      <c r="M38" s="73">
        <f t="shared" si="4"/>
        <v>2.166666667</v>
      </c>
      <c r="N38" s="74">
        <f t="shared" ref="N38:O38" si="42">H38/G38</f>
        <v>0.008</v>
      </c>
      <c r="O38" s="74">
        <f t="shared" si="42"/>
        <v>0.01300003714</v>
      </c>
      <c r="P38" s="70">
        <f t="shared" si="6"/>
        <v>0.3900011143</v>
      </c>
      <c r="Q38" s="70">
        <f t="shared" si="7"/>
        <v>3.120008914</v>
      </c>
      <c r="R38" s="2"/>
      <c r="S38" s="2"/>
      <c r="T38" s="2"/>
      <c r="U38" s="2"/>
      <c r="V38" s="2"/>
      <c r="W38" s="2"/>
      <c r="X38" s="2"/>
      <c r="Y38" s="2"/>
      <c r="Z38" s="2"/>
    </row>
    <row r="39" ht="15.0" customHeight="1">
      <c r="A39" s="75" t="s">
        <v>178</v>
      </c>
      <c r="B39" s="75">
        <v>10.0</v>
      </c>
      <c r="C39" s="75" t="s">
        <v>48</v>
      </c>
      <c r="D39" s="76">
        <v>0.95</v>
      </c>
      <c r="E39" s="75"/>
      <c r="F39" s="77">
        <v>50400.0</v>
      </c>
      <c r="G39" s="78">
        <v>1.730775E7</v>
      </c>
      <c r="H39" s="78">
        <v>138462.0</v>
      </c>
      <c r="I39" s="78">
        <v>1800.0</v>
      </c>
      <c r="J39" s="79">
        <f t="shared" si="2"/>
        <v>28</v>
      </c>
      <c r="K39" s="80">
        <f>I39*'Unit Economics &amp; Calendar'!$C$3</f>
        <v>117000</v>
      </c>
      <c r="L39" s="81">
        <f t="shared" si="3"/>
        <v>0.4307692308</v>
      </c>
      <c r="M39" s="82">
        <f t="shared" si="4"/>
        <v>2.321428571</v>
      </c>
      <c r="N39" s="83">
        <f t="shared" ref="N39:O39" si="43">H39/G39</f>
        <v>0.008</v>
      </c>
      <c r="O39" s="83">
        <f t="shared" si="43"/>
        <v>0.01299995667</v>
      </c>
      <c r="P39" s="79">
        <f t="shared" si="6"/>
        <v>0.3639987867</v>
      </c>
      <c r="Q39" s="79">
        <f t="shared" si="7"/>
        <v>2.911990293</v>
      </c>
      <c r="R39" s="2"/>
      <c r="S39" s="2"/>
      <c r="T39" s="2"/>
      <c r="U39" s="2"/>
      <c r="V39" s="2"/>
      <c r="W39" s="2"/>
      <c r="X39" s="2"/>
      <c r="Y39" s="2"/>
      <c r="Z39" s="2"/>
    </row>
    <row r="40" ht="15.0" customHeight="1">
      <c r="A40" s="66" t="s">
        <v>179</v>
      </c>
      <c r="B40" s="66">
        <v>11.0</v>
      </c>
      <c r="C40" s="66" t="s">
        <v>48</v>
      </c>
      <c r="D40" s="67">
        <v>1.05</v>
      </c>
      <c r="E40" s="66" t="s">
        <v>180</v>
      </c>
      <c r="F40" s="68">
        <v>56700.0</v>
      </c>
      <c r="G40" s="69">
        <v>1.94445E7</v>
      </c>
      <c r="H40" s="69">
        <v>155556.0</v>
      </c>
      <c r="I40" s="69">
        <v>2100.0</v>
      </c>
      <c r="J40" s="70">
        <f t="shared" si="2"/>
        <v>27</v>
      </c>
      <c r="K40" s="71">
        <f>I40*'Unit Economics &amp; Calendar'!$C$3</f>
        <v>136500</v>
      </c>
      <c r="L40" s="72">
        <f t="shared" si="3"/>
        <v>0.4153846154</v>
      </c>
      <c r="M40" s="73">
        <f t="shared" si="4"/>
        <v>2.407407407</v>
      </c>
      <c r="N40" s="74">
        <f t="shared" ref="N40:O40" si="44">H40/G40</f>
        <v>0.008</v>
      </c>
      <c r="O40" s="74">
        <f t="shared" si="44"/>
        <v>0.01349996143</v>
      </c>
      <c r="P40" s="70">
        <f t="shared" si="6"/>
        <v>0.3644989586</v>
      </c>
      <c r="Q40" s="70">
        <f t="shared" si="7"/>
        <v>2.915991669</v>
      </c>
      <c r="R40" s="2"/>
      <c r="S40" s="2"/>
      <c r="T40" s="2"/>
      <c r="U40" s="2"/>
      <c r="V40" s="2"/>
      <c r="W40" s="2"/>
      <c r="X40" s="2"/>
      <c r="Y40" s="2"/>
      <c r="Z40" s="2"/>
    </row>
    <row r="41" ht="15.0" customHeight="1">
      <c r="A41" s="75" t="s">
        <v>181</v>
      </c>
      <c r="B41" s="75">
        <v>12.0</v>
      </c>
      <c r="C41" s="75" t="s">
        <v>48</v>
      </c>
      <c r="D41" s="76">
        <v>0.9</v>
      </c>
      <c r="E41" s="75"/>
      <c r="F41" s="77">
        <v>53300.0</v>
      </c>
      <c r="G41" s="78">
        <v>1.8303625E7</v>
      </c>
      <c r="H41" s="78">
        <v>146429.0</v>
      </c>
      <c r="I41" s="78">
        <v>2050.0</v>
      </c>
      <c r="J41" s="79">
        <f t="shared" si="2"/>
        <v>26</v>
      </c>
      <c r="K41" s="80">
        <f>I41*'Unit Economics &amp; Calendar'!$C$3</f>
        <v>133250</v>
      </c>
      <c r="L41" s="81">
        <f t="shared" si="3"/>
        <v>0.4</v>
      </c>
      <c r="M41" s="82">
        <f t="shared" si="4"/>
        <v>2.5</v>
      </c>
      <c r="N41" s="83">
        <f t="shared" ref="N41:O41" si="45">H41/G41</f>
        <v>0.008</v>
      </c>
      <c r="O41" s="83">
        <f t="shared" si="45"/>
        <v>0.01399995902</v>
      </c>
      <c r="P41" s="79">
        <f t="shared" si="6"/>
        <v>0.3639989346</v>
      </c>
      <c r="Q41" s="79">
        <f t="shared" si="7"/>
        <v>2.911991477</v>
      </c>
      <c r="R41" s="2"/>
      <c r="S41" s="2"/>
      <c r="T41" s="2"/>
      <c r="U41" s="2"/>
      <c r="V41" s="2"/>
      <c r="W41" s="2"/>
      <c r="X41" s="2"/>
      <c r="Y41" s="2"/>
      <c r="Z41" s="2"/>
    </row>
    <row r="42" ht="15.75" customHeight="1">
      <c r="A42" s="1"/>
      <c r="B42" s="1"/>
      <c r="C42" s="1"/>
      <c r="D42" s="1"/>
      <c r="E42" s="1"/>
      <c r="F42" s="1"/>
      <c r="G42" s="1"/>
      <c r="H42" s="1"/>
      <c r="I42" s="1"/>
      <c r="J42" s="1"/>
      <c r="K42" s="1"/>
      <c r="L42" s="1"/>
      <c r="M42" s="1"/>
      <c r="N42" s="1"/>
      <c r="O42" s="1"/>
      <c r="P42" s="1"/>
      <c r="Q42" s="1"/>
      <c r="R42" s="2"/>
      <c r="S42" s="2"/>
      <c r="T42" s="2"/>
      <c r="U42" s="2"/>
      <c r="V42" s="2"/>
      <c r="W42" s="2"/>
      <c r="X42" s="2"/>
      <c r="Y42" s="2"/>
      <c r="Z42" s="2"/>
    </row>
    <row r="43" ht="15.75" customHeight="1">
      <c r="A43" s="1"/>
      <c r="B43" s="1"/>
      <c r="C43" s="1"/>
      <c r="D43" s="1"/>
      <c r="E43" s="1"/>
      <c r="F43" s="1"/>
      <c r="G43" s="1"/>
      <c r="H43" s="1"/>
      <c r="I43" s="1"/>
      <c r="J43" s="1"/>
      <c r="K43" s="1"/>
      <c r="L43" s="1"/>
      <c r="M43" s="1"/>
      <c r="N43" s="1"/>
      <c r="O43" s="1"/>
      <c r="P43" s="1"/>
      <c r="Q43" s="1"/>
      <c r="R43" s="2"/>
      <c r="S43" s="2"/>
      <c r="T43" s="2"/>
      <c r="U43" s="2"/>
      <c r="V43" s="2"/>
      <c r="W43" s="2"/>
      <c r="X43" s="2"/>
      <c r="Y43" s="2"/>
      <c r="Z43" s="2"/>
    </row>
    <row r="44" ht="15.75" customHeight="1">
      <c r="A44" s="1"/>
      <c r="B44" s="1"/>
      <c r="C44" s="1"/>
      <c r="D44" s="1"/>
      <c r="E44" s="1"/>
      <c r="F44" s="1"/>
      <c r="G44" s="1"/>
      <c r="H44" s="1"/>
      <c r="I44" s="1"/>
      <c r="J44" s="1"/>
      <c r="K44" s="1"/>
      <c r="L44" s="1"/>
      <c r="M44" s="1"/>
      <c r="N44" s="1"/>
      <c r="O44" s="1"/>
      <c r="P44" s="1"/>
      <c r="Q44" s="1"/>
      <c r="R44" s="2"/>
      <c r="S44" s="2"/>
      <c r="T44" s="2"/>
      <c r="U44" s="2"/>
      <c r="V44" s="2"/>
      <c r="W44" s="2"/>
      <c r="X44" s="2"/>
      <c r="Y44" s="2"/>
      <c r="Z44" s="2"/>
    </row>
    <row r="45" ht="15.75" customHeight="1">
      <c r="A45" s="1"/>
      <c r="B45" s="1"/>
      <c r="C45" s="1"/>
      <c r="D45" s="1"/>
      <c r="E45" s="1"/>
      <c r="F45" s="1"/>
      <c r="G45" s="1"/>
      <c r="H45" s="1"/>
      <c r="I45" s="1"/>
      <c r="J45" s="1"/>
      <c r="K45" s="1"/>
      <c r="L45" s="1"/>
      <c r="M45" s="1"/>
      <c r="N45" s="1"/>
      <c r="O45" s="1"/>
      <c r="P45" s="1"/>
      <c r="Q45" s="1"/>
      <c r="R45" s="2"/>
      <c r="S45" s="2"/>
      <c r="T45" s="2"/>
      <c r="U45" s="2"/>
      <c r="V45" s="2"/>
      <c r="W45" s="2"/>
      <c r="X45" s="2"/>
      <c r="Y45" s="2"/>
      <c r="Z45" s="2"/>
    </row>
    <row r="46" ht="15.75" customHeight="1">
      <c r="A46" s="1"/>
      <c r="B46" s="1"/>
      <c r="C46" s="1"/>
      <c r="D46" s="1"/>
      <c r="E46" s="1"/>
      <c r="F46" s="1"/>
      <c r="G46" s="1"/>
      <c r="H46" s="1"/>
      <c r="I46" s="1"/>
      <c r="J46" s="1"/>
      <c r="K46" s="1"/>
      <c r="L46" s="1"/>
      <c r="M46" s="1"/>
      <c r="N46" s="1"/>
      <c r="O46" s="1"/>
      <c r="P46" s="1"/>
      <c r="Q46" s="1"/>
      <c r="R46" s="2"/>
      <c r="S46" s="2"/>
      <c r="T46" s="2"/>
      <c r="U46" s="2"/>
      <c r="V46" s="2"/>
      <c r="W46" s="2"/>
      <c r="X46" s="2"/>
      <c r="Y46" s="2"/>
      <c r="Z46" s="2"/>
    </row>
    <row r="47" ht="15.75" customHeight="1">
      <c r="A47" s="1"/>
      <c r="B47" s="1"/>
      <c r="C47" s="1"/>
      <c r="D47" s="1"/>
      <c r="E47" s="1"/>
      <c r="F47" s="1"/>
      <c r="G47" s="1"/>
      <c r="H47" s="1"/>
      <c r="I47" s="1"/>
      <c r="J47" s="1"/>
      <c r="K47" s="1"/>
      <c r="L47" s="1"/>
      <c r="M47" s="1"/>
      <c r="N47" s="1"/>
      <c r="O47" s="1"/>
      <c r="P47" s="1"/>
      <c r="Q47" s="1"/>
      <c r="R47" s="2"/>
      <c r="S47" s="2"/>
      <c r="T47" s="2"/>
      <c r="U47" s="2"/>
      <c r="V47" s="2"/>
      <c r="W47" s="2"/>
      <c r="X47" s="2"/>
      <c r="Y47" s="2"/>
      <c r="Z47" s="2"/>
    </row>
    <row r="48" ht="15.75" customHeight="1">
      <c r="A48" s="1"/>
      <c r="B48" s="1"/>
      <c r="C48" s="1"/>
      <c r="D48" s="1"/>
      <c r="E48" s="1"/>
      <c r="F48" s="1"/>
      <c r="G48" s="1"/>
      <c r="H48" s="1"/>
      <c r="I48" s="1"/>
      <c r="J48" s="1"/>
      <c r="K48" s="1"/>
      <c r="L48" s="1"/>
      <c r="M48" s="1"/>
      <c r="N48" s="1"/>
      <c r="O48" s="1"/>
      <c r="P48" s="1"/>
      <c r="Q48" s="1"/>
      <c r="R48" s="2"/>
      <c r="S48" s="2"/>
      <c r="T48" s="2"/>
      <c r="U48" s="2"/>
      <c r="V48" s="2"/>
      <c r="W48" s="2"/>
      <c r="X48" s="2"/>
      <c r="Y48" s="2"/>
      <c r="Z48" s="2"/>
    </row>
    <row r="49" ht="15.75" customHeight="1">
      <c r="A49" s="1"/>
      <c r="B49" s="1"/>
      <c r="C49" s="1"/>
      <c r="D49" s="1"/>
      <c r="E49" s="1"/>
      <c r="F49" s="1"/>
      <c r="G49" s="1"/>
      <c r="H49" s="1"/>
      <c r="I49" s="1"/>
      <c r="J49" s="1"/>
      <c r="K49" s="1"/>
      <c r="L49" s="1"/>
      <c r="M49" s="1"/>
      <c r="N49" s="1"/>
      <c r="O49" s="1"/>
      <c r="P49" s="1"/>
      <c r="Q49" s="1"/>
      <c r="R49" s="2"/>
      <c r="S49" s="2"/>
      <c r="T49" s="2"/>
      <c r="U49" s="2"/>
      <c r="V49" s="2"/>
      <c r="W49" s="2"/>
      <c r="X49" s="2"/>
      <c r="Y49" s="2"/>
      <c r="Z49" s="2"/>
    </row>
    <row r="50" ht="15.75" customHeight="1">
      <c r="A50" s="1"/>
      <c r="B50" s="1"/>
      <c r="C50" s="1"/>
      <c r="D50" s="1"/>
      <c r="E50" s="1"/>
      <c r="F50" s="1"/>
      <c r="G50" s="1"/>
      <c r="H50" s="1"/>
      <c r="I50" s="1"/>
      <c r="J50" s="1"/>
      <c r="K50" s="1"/>
      <c r="L50" s="1"/>
      <c r="M50" s="1"/>
      <c r="N50" s="1"/>
      <c r="O50" s="1"/>
      <c r="P50" s="1"/>
      <c r="Q50" s="1"/>
      <c r="R50" s="2"/>
      <c r="S50" s="2"/>
      <c r="T50" s="2"/>
      <c r="U50" s="2"/>
      <c r="V50" s="2"/>
      <c r="W50" s="2"/>
      <c r="X50" s="2"/>
      <c r="Y50" s="2"/>
      <c r="Z50" s="2"/>
    </row>
    <row r="51" ht="15.75" customHeight="1">
      <c r="A51" s="1"/>
      <c r="B51" s="1"/>
      <c r="C51" s="1"/>
      <c r="D51" s="1"/>
      <c r="E51" s="1"/>
      <c r="F51" s="1"/>
      <c r="G51" s="1"/>
      <c r="H51" s="1"/>
      <c r="I51" s="1"/>
      <c r="J51" s="1"/>
      <c r="K51" s="1"/>
      <c r="L51" s="1"/>
      <c r="M51" s="1"/>
      <c r="N51" s="1"/>
      <c r="O51" s="1"/>
      <c r="P51" s="1"/>
      <c r="Q51" s="1"/>
      <c r="R51" s="2"/>
      <c r="S51" s="2"/>
      <c r="T51" s="2"/>
      <c r="U51" s="2"/>
      <c r="V51" s="2"/>
      <c r="W51" s="2"/>
      <c r="X51" s="2"/>
      <c r="Y51" s="2"/>
      <c r="Z51" s="2"/>
    </row>
    <row r="52" ht="15.75" customHeight="1">
      <c r="A52" s="1"/>
      <c r="B52" s="1"/>
      <c r="C52" s="1"/>
      <c r="D52" s="1"/>
      <c r="E52" s="1"/>
      <c r="F52" s="1"/>
      <c r="G52" s="1"/>
      <c r="H52" s="1"/>
      <c r="I52" s="1"/>
      <c r="J52" s="1"/>
      <c r="K52" s="1"/>
      <c r="L52" s="1"/>
      <c r="M52" s="1"/>
      <c r="N52" s="1"/>
      <c r="O52" s="1"/>
      <c r="P52" s="1"/>
      <c r="Q52" s="1"/>
      <c r="R52" s="2"/>
      <c r="S52" s="2"/>
      <c r="T52" s="2"/>
      <c r="U52" s="2"/>
      <c r="V52" s="2"/>
      <c r="W52" s="2"/>
      <c r="X52" s="2"/>
      <c r="Y52" s="2"/>
      <c r="Z52" s="2"/>
    </row>
    <row r="53" ht="15.75" customHeight="1">
      <c r="A53" s="1"/>
      <c r="B53" s="1"/>
      <c r="C53" s="1"/>
      <c r="D53" s="1"/>
      <c r="E53" s="1"/>
      <c r="F53" s="1"/>
      <c r="G53" s="1"/>
      <c r="H53" s="1"/>
      <c r="I53" s="1"/>
      <c r="J53" s="1"/>
      <c r="K53" s="1"/>
      <c r="L53" s="1"/>
      <c r="M53" s="1"/>
      <c r="N53" s="1"/>
      <c r="O53" s="1"/>
      <c r="P53" s="1"/>
      <c r="Q53" s="1"/>
      <c r="R53" s="2"/>
      <c r="S53" s="2"/>
      <c r="T53" s="2"/>
      <c r="U53" s="2"/>
      <c r="V53" s="2"/>
      <c r="W53" s="2"/>
      <c r="X53" s="2"/>
      <c r="Y53" s="2"/>
      <c r="Z53" s="2"/>
    </row>
    <row r="54" ht="15.75" customHeight="1">
      <c r="A54" s="1"/>
      <c r="B54" s="1"/>
      <c r="C54" s="1"/>
      <c r="D54" s="1"/>
      <c r="E54" s="1"/>
      <c r="F54" s="1"/>
      <c r="G54" s="1"/>
      <c r="H54" s="1"/>
      <c r="I54" s="1"/>
      <c r="J54" s="1"/>
      <c r="K54" s="1"/>
      <c r="L54" s="1"/>
      <c r="M54" s="1"/>
      <c r="N54" s="1"/>
      <c r="O54" s="1"/>
      <c r="P54" s="1"/>
      <c r="Q54" s="1"/>
      <c r="R54" s="2"/>
      <c r="S54" s="2"/>
      <c r="T54" s="2"/>
      <c r="U54" s="2"/>
      <c r="V54" s="2"/>
      <c r="W54" s="2"/>
      <c r="X54" s="2"/>
      <c r="Y54" s="2"/>
      <c r="Z54" s="2"/>
    </row>
    <row r="55" ht="15.75" customHeight="1">
      <c r="A55" s="1"/>
      <c r="B55" s="1"/>
      <c r="C55" s="1"/>
      <c r="D55" s="1"/>
      <c r="E55" s="1"/>
      <c r="F55" s="1"/>
      <c r="G55" s="1"/>
      <c r="H55" s="1"/>
      <c r="I55" s="1"/>
      <c r="J55" s="1"/>
      <c r="K55" s="1"/>
      <c r="L55" s="1"/>
      <c r="M55" s="1"/>
      <c r="N55" s="1"/>
      <c r="O55" s="1"/>
      <c r="P55" s="1"/>
      <c r="Q55" s="1"/>
      <c r="R55" s="2"/>
      <c r="S55" s="2"/>
      <c r="T55" s="2"/>
      <c r="U55" s="2"/>
      <c r="V55" s="2"/>
      <c r="W55" s="2"/>
      <c r="X55" s="2"/>
      <c r="Y55" s="2"/>
      <c r="Z55" s="2"/>
    </row>
    <row r="56" ht="15.75" customHeight="1">
      <c r="A56" s="1"/>
      <c r="B56" s="1"/>
      <c r="C56" s="1"/>
      <c r="D56" s="1"/>
      <c r="E56" s="1"/>
      <c r="F56" s="1"/>
      <c r="G56" s="1"/>
      <c r="H56" s="1"/>
      <c r="I56" s="1"/>
      <c r="J56" s="1"/>
      <c r="K56" s="1"/>
      <c r="L56" s="1"/>
      <c r="M56" s="1"/>
      <c r="N56" s="1"/>
      <c r="O56" s="1"/>
      <c r="P56" s="1"/>
      <c r="Q56" s="1"/>
      <c r="R56" s="2"/>
      <c r="S56" s="2"/>
      <c r="T56" s="2"/>
      <c r="U56" s="2"/>
      <c r="V56" s="2"/>
      <c r="W56" s="2"/>
      <c r="X56" s="2"/>
      <c r="Y56" s="2"/>
      <c r="Z56" s="2"/>
    </row>
    <row r="57" ht="15.75" customHeight="1">
      <c r="A57" s="1"/>
      <c r="B57" s="1"/>
      <c r="C57" s="1"/>
      <c r="D57" s="1"/>
      <c r="E57" s="1"/>
      <c r="F57" s="1"/>
      <c r="G57" s="1"/>
      <c r="H57" s="1"/>
      <c r="I57" s="1"/>
      <c r="J57" s="1"/>
      <c r="K57" s="1"/>
      <c r="L57" s="1"/>
      <c r="M57" s="1"/>
      <c r="N57" s="1"/>
      <c r="O57" s="1"/>
      <c r="P57" s="1"/>
      <c r="Q57" s="1"/>
      <c r="R57" s="2"/>
      <c r="S57" s="2"/>
      <c r="T57" s="2"/>
      <c r="U57" s="2"/>
      <c r="V57" s="2"/>
      <c r="W57" s="2"/>
      <c r="X57" s="2"/>
      <c r="Y57" s="2"/>
      <c r="Z57" s="2"/>
    </row>
    <row r="58" ht="15.75" customHeight="1">
      <c r="A58" s="1"/>
      <c r="B58" s="1"/>
      <c r="C58" s="1"/>
      <c r="D58" s="1"/>
      <c r="E58" s="1"/>
      <c r="F58" s="1"/>
      <c r="G58" s="1"/>
      <c r="H58" s="1"/>
      <c r="I58" s="1"/>
      <c r="J58" s="1"/>
      <c r="K58" s="1"/>
      <c r="L58" s="1"/>
      <c r="M58" s="1"/>
      <c r="N58" s="1"/>
      <c r="O58" s="1"/>
      <c r="P58" s="1"/>
      <c r="Q58" s="1"/>
      <c r="R58" s="2"/>
      <c r="S58" s="2"/>
      <c r="T58" s="2"/>
      <c r="U58" s="2"/>
      <c r="V58" s="2"/>
      <c r="W58" s="2"/>
      <c r="X58" s="2"/>
      <c r="Y58" s="2"/>
      <c r="Z58" s="2"/>
    </row>
    <row r="59" ht="15.75" customHeight="1">
      <c r="A59" s="1"/>
      <c r="B59" s="1"/>
      <c r="C59" s="1"/>
      <c r="D59" s="1"/>
      <c r="E59" s="1"/>
      <c r="F59" s="1"/>
      <c r="G59" s="1"/>
      <c r="H59" s="1"/>
      <c r="I59" s="1"/>
      <c r="J59" s="1"/>
      <c r="K59" s="1"/>
      <c r="L59" s="1"/>
      <c r="M59" s="1"/>
      <c r="N59" s="1"/>
      <c r="O59" s="1"/>
      <c r="P59" s="1"/>
      <c r="Q59" s="1"/>
      <c r="R59" s="2"/>
      <c r="S59" s="2"/>
      <c r="T59" s="2"/>
      <c r="U59" s="2"/>
      <c r="V59" s="2"/>
      <c r="W59" s="2"/>
      <c r="X59" s="2"/>
      <c r="Y59" s="2"/>
      <c r="Z59" s="2"/>
    </row>
    <row r="60" ht="15.75" customHeight="1">
      <c r="A60" s="1"/>
      <c r="B60" s="1"/>
      <c r="C60" s="1"/>
      <c r="D60" s="1"/>
      <c r="E60" s="1"/>
      <c r="F60" s="1"/>
      <c r="G60" s="1"/>
      <c r="H60" s="1"/>
      <c r="I60" s="1"/>
      <c r="J60" s="1"/>
      <c r="K60" s="1"/>
      <c r="L60" s="1"/>
      <c r="M60" s="1"/>
      <c r="N60" s="1"/>
      <c r="O60" s="1"/>
      <c r="P60" s="1"/>
      <c r="Q60" s="1"/>
      <c r="R60" s="2"/>
      <c r="S60" s="2"/>
      <c r="T60" s="2"/>
      <c r="U60" s="2"/>
      <c r="V60" s="2"/>
      <c r="W60" s="2"/>
      <c r="X60" s="2"/>
      <c r="Y60" s="2"/>
      <c r="Z60" s="2"/>
    </row>
    <row r="61" ht="15.75" customHeight="1">
      <c r="A61" s="1"/>
      <c r="B61" s="1"/>
      <c r="C61" s="1"/>
      <c r="D61" s="1"/>
      <c r="E61" s="1"/>
      <c r="F61" s="1"/>
      <c r="G61" s="1"/>
      <c r="H61" s="1"/>
      <c r="I61" s="1"/>
      <c r="J61" s="1"/>
      <c r="K61" s="1"/>
      <c r="L61" s="1"/>
      <c r="M61" s="1"/>
      <c r="N61" s="1"/>
      <c r="O61" s="1"/>
      <c r="P61" s="1"/>
      <c r="Q61" s="1"/>
      <c r="R61" s="2"/>
      <c r="S61" s="2"/>
      <c r="T61" s="2"/>
      <c r="U61" s="2"/>
      <c r="V61" s="2"/>
      <c r="W61" s="2"/>
      <c r="X61" s="2"/>
      <c r="Y61" s="2"/>
      <c r="Z61" s="2"/>
    </row>
    <row r="62" ht="15.75" customHeight="1">
      <c r="A62" s="1"/>
      <c r="B62" s="1"/>
      <c r="C62" s="1"/>
      <c r="D62" s="1"/>
      <c r="E62" s="1"/>
      <c r="F62" s="1"/>
      <c r="G62" s="1"/>
      <c r="H62" s="1"/>
      <c r="I62" s="1"/>
      <c r="J62" s="1"/>
      <c r="K62" s="1"/>
      <c r="L62" s="1"/>
      <c r="M62" s="1"/>
      <c r="N62" s="1"/>
      <c r="O62" s="1"/>
      <c r="P62" s="1"/>
      <c r="Q62" s="1"/>
      <c r="R62" s="2"/>
      <c r="S62" s="2"/>
      <c r="T62" s="2"/>
      <c r="U62" s="2"/>
      <c r="V62" s="2"/>
      <c r="W62" s="2"/>
      <c r="X62" s="2"/>
      <c r="Y62" s="2"/>
      <c r="Z62" s="2"/>
    </row>
    <row r="63" ht="15.75" customHeight="1">
      <c r="A63" s="1"/>
      <c r="B63" s="1"/>
      <c r="C63" s="1"/>
      <c r="D63" s="1"/>
      <c r="E63" s="1"/>
      <c r="F63" s="1"/>
      <c r="G63" s="1"/>
      <c r="H63" s="1"/>
      <c r="I63" s="1"/>
      <c r="J63" s="1"/>
      <c r="K63" s="1"/>
      <c r="L63" s="1"/>
      <c r="M63" s="1"/>
      <c r="N63" s="1"/>
      <c r="O63" s="1"/>
      <c r="P63" s="1"/>
      <c r="Q63" s="1"/>
      <c r="R63" s="2"/>
      <c r="S63" s="2"/>
      <c r="T63" s="2"/>
      <c r="U63" s="2"/>
      <c r="V63" s="2"/>
      <c r="W63" s="2"/>
      <c r="X63" s="2"/>
      <c r="Y63" s="2"/>
      <c r="Z63" s="2"/>
    </row>
    <row r="64" ht="15.75" customHeight="1">
      <c r="A64" s="1"/>
      <c r="B64" s="1"/>
      <c r="C64" s="1"/>
      <c r="D64" s="1"/>
      <c r="E64" s="1"/>
      <c r="F64" s="1"/>
      <c r="G64" s="1"/>
      <c r="H64" s="1"/>
      <c r="I64" s="1"/>
      <c r="J64" s="1"/>
      <c r="K64" s="1"/>
      <c r="L64" s="1"/>
      <c r="M64" s="1"/>
      <c r="N64" s="1"/>
      <c r="O64" s="1"/>
      <c r="P64" s="1"/>
      <c r="Q64" s="1"/>
      <c r="R64" s="2"/>
      <c r="S64" s="2"/>
      <c r="T64" s="2"/>
      <c r="U64" s="2"/>
      <c r="V64" s="2"/>
      <c r="W64" s="2"/>
      <c r="X64" s="2"/>
      <c r="Y64" s="2"/>
      <c r="Z64" s="2"/>
    </row>
    <row r="65" ht="15.75" customHeight="1">
      <c r="A65" s="1"/>
      <c r="B65" s="1"/>
      <c r="C65" s="1"/>
      <c r="D65" s="1"/>
      <c r="E65" s="1"/>
      <c r="F65" s="1"/>
      <c r="G65" s="1"/>
      <c r="H65" s="1"/>
      <c r="I65" s="1"/>
      <c r="J65" s="1"/>
      <c r="K65" s="1"/>
      <c r="L65" s="1"/>
      <c r="M65" s="1"/>
      <c r="N65" s="1"/>
      <c r="O65" s="1"/>
      <c r="P65" s="1"/>
      <c r="Q65" s="1"/>
      <c r="R65" s="2"/>
      <c r="S65" s="2"/>
      <c r="T65" s="2"/>
      <c r="U65" s="2"/>
      <c r="V65" s="2"/>
      <c r="W65" s="2"/>
      <c r="X65" s="2"/>
      <c r="Y65" s="2"/>
      <c r="Z65" s="2"/>
    </row>
    <row r="66" ht="15.75" customHeight="1">
      <c r="A66" s="1"/>
      <c r="B66" s="1"/>
      <c r="C66" s="1"/>
      <c r="D66" s="1"/>
      <c r="E66" s="1"/>
      <c r="F66" s="1"/>
      <c r="G66" s="1"/>
      <c r="H66" s="1"/>
      <c r="I66" s="1"/>
      <c r="J66" s="1"/>
      <c r="K66" s="1"/>
      <c r="L66" s="1"/>
      <c r="M66" s="1"/>
      <c r="N66" s="1"/>
      <c r="O66" s="1"/>
      <c r="P66" s="1"/>
      <c r="Q66" s="1"/>
      <c r="R66" s="2"/>
      <c r="S66" s="2"/>
      <c r="T66" s="2"/>
      <c r="U66" s="2"/>
      <c r="V66" s="2"/>
      <c r="W66" s="2"/>
      <c r="X66" s="2"/>
      <c r="Y66" s="2"/>
      <c r="Z66" s="2"/>
    </row>
    <row r="67" ht="15.75" customHeight="1">
      <c r="A67" s="1"/>
      <c r="B67" s="1"/>
      <c r="C67" s="1"/>
      <c r="D67" s="1"/>
      <c r="E67" s="1"/>
      <c r="F67" s="1"/>
      <c r="G67" s="1"/>
      <c r="H67" s="1"/>
      <c r="I67" s="1"/>
      <c r="J67" s="1"/>
      <c r="K67" s="1"/>
      <c r="L67" s="1"/>
      <c r="M67" s="1"/>
      <c r="N67" s="1"/>
      <c r="O67" s="1"/>
      <c r="P67" s="1"/>
      <c r="Q67" s="1"/>
      <c r="R67" s="2"/>
      <c r="S67" s="2"/>
      <c r="T67" s="2"/>
      <c r="U67" s="2"/>
      <c r="V67" s="2"/>
      <c r="W67" s="2"/>
      <c r="X67" s="2"/>
      <c r="Y67" s="2"/>
      <c r="Z67" s="2"/>
    </row>
    <row r="68" ht="15.75" customHeight="1">
      <c r="A68" s="1"/>
      <c r="B68" s="1"/>
      <c r="C68" s="1"/>
      <c r="D68" s="1"/>
      <c r="E68" s="1"/>
      <c r="F68" s="1"/>
      <c r="G68" s="1"/>
      <c r="H68" s="1"/>
      <c r="I68" s="1"/>
      <c r="J68" s="1"/>
      <c r="K68" s="1"/>
      <c r="L68" s="1"/>
      <c r="M68" s="1"/>
      <c r="N68" s="1"/>
      <c r="O68" s="1"/>
      <c r="P68" s="1"/>
      <c r="Q68" s="1"/>
      <c r="R68" s="2"/>
      <c r="S68" s="2"/>
      <c r="T68" s="2"/>
      <c r="U68" s="2"/>
      <c r="V68" s="2"/>
      <c r="W68" s="2"/>
      <c r="X68" s="2"/>
      <c r="Y68" s="2"/>
      <c r="Z68" s="2"/>
    </row>
    <row r="69" ht="15.75" customHeight="1">
      <c r="A69" s="1"/>
      <c r="B69" s="1"/>
      <c r="C69" s="1"/>
      <c r="D69" s="1"/>
      <c r="E69" s="1"/>
      <c r="F69" s="1"/>
      <c r="G69" s="1"/>
      <c r="H69" s="1"/>
      <c r="I69" s="1"/>
      <c r="J69" s="1"/>
      <c r="K69" s="1"/>
      <c r="L69" s="1"/>
      <c r="M69" s="1"/>
      <c r="N69" s="1"/>
      <c r="O69" s="1"/>
      <c r="P69" s="1"/>
      <c r="Q69" s="1"/>
      <c r="R69" s="2"/>
      <c r="S69" s="2"/>
      <c r="T69" s="2"/>
      <c r="U69" s="2"/>
      <c r="V69" s="2"/>
      <c r="W69" s="2"/>
      <c r="X69" s="2"/>
      <c r="Y69" s="2"/>
      <c r="Z69" s="2"/>
    </row>
    <row r="70" ht="15.75" customHeight="1">
      <c r="A70" s="1"/>
      <c r="B70" s="1"/>
      <c r="C70" s="1"/>
      <c r="D70" s="1"/>
      <c r="E70" s="1"/>
      <c r="F70" s="1"/>
      <c r="G70" s="1"/>
      <c r="H70" s="1"/>
      <c r="I70" s="1"/>
      <c r="J70" s="1"/>
      <c r="K70" s="1"/>
      <c r="L70" s="1"/>
      <c r="M70" s="1"/>
      <c r="N70" s="1"/>
      <c r="O70" s="1"/>
      <c r="P70" s="1"/>
      <c r="Q70" s="1"/>
      <c r="R70" s="2"/>
      <c r="S70" s="2"/>
      <c r="T70" s="2"/>
      <c r="U70" s="2"/>
      <c r="V70" s="2"/>
      <c r="W70" s="2"/>
      <c r="X70" s="2"/>
      <c r="Y70" s="2"/>
      <c r="Z70" s="2"/>
    </row>
    <row r="71" ht="15.75" customHeight="1">
      <c r="A71" s="1"/>
      <c r="B71" s="1"/>
      <c r="C71" s="1"/>
      <c r="D71" s="1"/>
      <c r="E71" s="1"/>
      <c r="F71" s="1"/>
      <c r="G71" s="1"/>
      <c r="H71" s="1"/>
      <c r="I71" s="1"/>
      <c r="J71" s="1"/>
      <c r="K71" s="1"/>
      <c r="L71" s="1"/>
      <c r="M71" s="1"/>
      <c r="N71" s="1"/>
      <c r="O71" s="1"/>
      <c r="P71" s="1"/>
      <c r="Q71" s="1"/>
      <c r="R71" s="2"/>
      <c r="S71" s="2"/>
      <c r="T71" s="2"/>
      <c r="U71" s="2"/>
      <c r="V71" s="2"/>
      <c r="W71" s="2"/>
      <c r="X71" s="2"/>
      <c r="Y71" s="2"/>
      <c r="Z71" s="2"/>
    </row>
    <row r="72" ht="15.75" customHeight="1">
      <c r="A72" s="1"/>
      <c r="B72" s="1"/>
      <c r="C72" s="1"/>
      <c r="D72" s="1"/>
      <c r="E72" s="1"/>
      <c r="F72" s="1"/>
      <c r="G72" s="1"/>
      <c r="H72" s="1"/>
      <c r="I72" s="1"/>
      <c r="J72" s="1"/>
      <c r="K72" s="1"/>
      <c r="L72" s="1"/>
      <c r="M72" s="1"/>
      <c r="N72" s="1"/>
      <c r="O72" s="1"/>
      <c r="P72" s="1"/>
      <c r="Q72" s="1"/>
      <c r="R72" s="2"/>
      <c r="S72" s="2"/>
      <c r="T72" s="2"/>
      <c r="U72" s="2"/>
      <c r="V72" s="2"/>
      <c r="W72" s="2"/>
      <c r="X72" s="2"/>
      <c r="Y72" s="2"/>
      <c r="Z72" s="2"/>
    </row>
    <row r="73" ht="15.75" customHeight="1">
      <c r="A73" s="1"/>
      <c r="B73" s="1"/>
      <c r="C73" s="1"/>
      <c r="D73" s="1"/>
      <c r="E73" s="1"/>
      <c r="F73" s="1"/>
      <c r="G73" s="1"/>
      <c r="H73" s="1"/>
      <c r="I73" s="1"/>
      <c r="J73" s="1"/>
      <c r="K73" s="1"/>
      <c r="L73" s="1"/>
      <c r="M73" s="1"/>
      <c r="N73" s="1"/>
      <c r="O73" s="1"/>
      <c r="P73" s="1"/>
      <c r="Q73" s="1"/>
      <c r="R73" s="2"/>
      <c r="S73" s="2"/>
      <c r="T73" s="2"/>
      <c r="U73" s="2"/>
      <c r="V73" s="2"/>
      <c r="W73" s="2"/>
      <c r="X73" s="2"/>
      <c r="Y73" s="2"/>
      <c r="Z73" s="2"/>
    </row>
    <row r="74" ht="15.75" customHeight="1">
      <c r="A74" s="1"/>
      <c r="B74" s="1"/>
      <c r="C74" s="1"/>
      <c r="D74" s="1"/>
      <c r="E74" s="1"/>
      <c r="F74" s="1"/>
      <c r="G74" s="1"/>
      <c r="H74" s="1"/>
      <c r="I74" s="1"/>
      <c r="J74" s="1"/>
      <c r="K74" s="1"/>
      <c r="L74" s="1"/>
      <c r="M74" s="1"/>
      <c r="N74" s="1"/>
      <c r="O74" s="1"/>
      <c r="P74" s="1"/>
      <c r="Q74" s="1"/>
      <c r="R74" s="2"/>
      <c r="S74" s="2"/>
      <c r="T74" s="2"/>
      <c r="U74" s="2"/>
      <c r="V74" s="2"/>
      <c r="W74" s="2"/>
      <c r="X74" s="2"/>
      <c r="Y74" s="2"/>
      <c r="Z74" s="2"/>
    </row>
    <row r="75" ht="15.75" customHeight="1">
      <c r="A75" s="1"/>
      <c r="B75" s="1"/>
      <c r="C75" s="1"/>
      <c r="D75" s="1"/>
      <c r="E75" s="1"/>
      <c r="F75" s="1"/>
      <c r="G75" s="1"/>
      <c r="H75" s="1"/>
      <c r="I75" s="1"/>
      <c r="J75" s="1"/>
      <c r="K75" s="1"/>
      <c r="L75" s="1"/>
      <c r="M75" s="1"/>
      <c r="N75" s="1"/>
      <c r="O75" s="1"/>
      <c r="P75" s="1"/>
      <c r="Q75" s="1"/>
      <c r="R75" s="2"/>
      <c r="S75" s="2"/>
      <c r="T75" s="2"/>
      <c r="U75" s="2"/>
      <c r="V75" s="2"/>
      <c r="W75" s="2"/>
      <c r="X75" s="2"/>
      <c r="Y75" s="2"/>
      <c r="Z75" s="2"/>
    </row>
    <row r="76" ht="15.75" customHeight="1">
      <c r="A76" s="1"/>
      <c r="B76" s="1"/>
      <c r="C76" s="1"/>
      <c r="D76" s="1"/>
      <c r="E76" s="1"/>
      <c r="F76" s="1"/>
      <c r="G76" s="1"/>
      <c r="H76" s="1"/>
      <c r="I76" s="1"/>
      <c r="J76" s="1"/>
      <c r="K76" s="1"/>
      <c r="L76" s="1"/>
      <c r="M76" s="1"/>
      <c r="N76" s="1"/>
      <c r="O76" s="1"/>
      <c r="P76" s="1"/>
      <c r="Q76" s="1"/>
      <c r="R76" s="2"/>
      <c r="S76" s="2"/>
      <c r="T76" s="2"/>
      <c r="U76" s="2"/>
      <c r="V76" s="2"/>
      <c r="W76" s="2"/>
      <c r="X76" s="2"/>
      <c r="Y76" s="2"/>
      <c r="Z76" s="2"/>
    </row>
    <row r="77" ht="15.75" customHeight="1">
      <c r="A77" s="1"/>
      <c r="B77" s="1"/>
      <c r="C77" s="1"/>
      <c r="D77" s="1"/>
      <c r="E77" s="1"/>
      <c r="F77" s="1"/>
      <c r="G77" s="1"/>
      <c r="H77" s="1"/>
      <c r="I77" s="1"/>
      <c r="J77" s="1"/>
      <c r="K77" s="1"/>
      <c r="L77" s="1"/>
      <c r="M77" s="1"/>
      <c r="N77" s="1"/>
      <c r="O77" s="1"/>
      <c r="P77" s="1"/>
      <c r="Q77" s="1"/>
      <c r="R77" s="2"/>
      <c r="S77" s="2"/>
      <c r="T77" s="2"/>
      <c r="U77" s="2"/>
      <c r="V77" s="2"/>
      <c r="W77" s="2"/>
      <c r="X77" s="2"/>
      <c r="Y77" s="2"/>
      <c r="Z77" s="2"/>
    </row>
    <row r="78" ht="15.75" customHeight="1">
      <c r="A78" s="1"/>
      <c r="B78" s="1"/>
      <c r="C78" s="1"/>
      <c r="D78" s="1"/>
      <c r="E78" s="1"/>
      <c r="F78" s="1"/>
      <c r="G78" s="1"/>
      <c r="H78" s="1"/>
      <c r="I78" s="1"/>
      <c r="J78" s="1"/>
      <c r="K78" s="1"/>
      <c r="L78" s="1"/>
      <c r="M78" s="1"/>
      <c r="N78" s="1"/>
      <c r="O78" s="1"/>
      <c r="P78" s="1"/>
      <c r="Q78" s="1"/>
      <c r="R78" s="2"/>
      <c r="S78" s="2"/>
      <c r="T78" s="2"/>
      <c r="U78" s="2"/>
      <c r="V78" s="2"/>
      <c r="W78" s="2"/>
      <c r="X78" s="2"/>
      <c r="Y78" s="2"/>
      <c r="Z78" s="2"/>
    </row>
    <row r="79" ht="15.75" customHeight="1">
      <c r="A79" s="1"/>
      <c r="B79" s="1"/>
      <c r="C79" s="1"/>
      <c r="D79" s="1"/>
      <c r="E79" s="1"/>
      <c r="F79" s="1"/>
      <c r="G79" s="1"/>
      <c r="H79" s="1"/>
      <c r="I79" s="1"/>
      <c r="J79" s="1"/>
      <c r="K79" s="1"/>
      <c r="L79" s="1"/>
      <c r="M79" s="1"/>
      <c r="N79" s="1"/>
      <c r="O79" s="1"/>
      <c r="P79" s="1"/>
      <c r="Q79" s="1"/>
      <c r="R79" s="2"/>
      <c r="S79" s="2"/>
      <c r="T79" s="2"/>
      <c r="U79" s="2"/>
      <c r="V79" s="2"/>
      <c r="W79" s="2"/>
      <c r="X79" s="2"/>
      <c r="Y79" s="2"/>
      <c r="Z79" s="2"/>
    </row>
    <row r="80" ht="15.75" customHeight="1">
      <c r="A80" s="1"/>
      <c r="B80" s="1"/>
      <c r="C80" s="1"/>
      <c r="D80" s="1"/>
      <c r="E80" s="1"/>
      <c r="F80" s="1"/>
      <c r="G80" s="1"/>
      <c r="H80" s="1"/>
      <c r="I80" s="1"/>
      <c r="J80" s="1"/>
      <c r="K80" s="1"/>
      <c r="L80" s="1"/>
      <c r="M80" s="1"/>
      <c r="N80" s="1"/>
      <c r="O80" s="1"/>
      <c r="P80" s="1"/>
      <c r="Q80" s="1"/>
      <c r="R80" s="2"/>
      <c r="S80" s="2"/>
      <c r="T80" s="2"/>
      <c r="U80" s="2"/>
      <c r="V80" s="2"/>
      <c r="W80" s="2"/>
      <c r="X80" s="2"/>
      <c r="Y80" s="2"/>
      <c r="Z80" s="2"/>
    </row>
    <row r="81" ht="15.75" customHeight="1">
      <c r="A81" s="1"/>
      <c r="B81" s="1"/>
      <c r="C81" s="1"/>
      <c r="D81" s="1"/>
      <c r="E81" s="1"/>
      <c r="F81" s="1"/>
      <c r="G81" s="1"/>
      <c r="H81" s="1"/>
      <c r="I81" s="1"/>
      <c r="J81" s="1"/>
      <c r="K81" s="1"/>
      <c r="L81" s="1"/>
      <c r="M81" s="1"/>
      <c r="N81" s="1"/>
      <c r="O81" s="1"/>
      <c r="P81" s="1"/>
      <c r="Q81" s="1"/>
      <c r="R81" s="2"/>
      <c r="S81" s="2"/>
      <c r="T81" s="2"/>
      <c r="U81" s="2"/>
      <c r="V81" s="2"/>
      <c r="W81" s="2"/>
      <c r="X81" s="2"/>
      <c r="Y81" s="2"/>
      <c r="Z81" s="2"/>
    </row>
    <row r="82" ht="15.75" customHeight="1">
      <c r="A82" s="1"/>
      <c r="B82" s="1"/>
      <c r="C82" s="1"/>
      <c r="D82" s="1"/>
      <c r="E82" s="1"/>
      <c r="F82" s="1"/>
      <c r="G82" s="1"/>
      <c r="H82" s="1"/>
      <c r="I82" s="1"/>
      <c r="J82" s="1"/>
      <c r="K82" s="1"/>
      <c r="L82" s="1"/>
      <c r="M82" s="1"/>
      <c r="N82" s="1"/>
      <c r="O82" s="1"/>
      <c r="P82" s="1"/>
      <c r="Q82" s="1"/>
      <c r="R82" s="2"/>
      <c r="S82" s="2"/>
      <c r="T82" s="2"/>
      <c r="U82" s="2"/>
      <c r="V82" s="2"/>
      <c r="W82" s="2"/>
      <c r="X82" s="2"/>
      <c r="Y82" s="2"/>
      <c r="Z82" s="2"/>
    </row>
    <row r="83" ht="15.75" customHeight="1">
      <c r="A83" s="1"/>
      <c r="B83" s="1"/>
      <c r="C83" s="1"/>
      <c r="D83" s="1"/>
      <c r="E83" s="1"/>
      <c r="F83" s="1"/>
      <c r="G83" s="1"/>
      <c r="H83" s="1"/>
      <c r="I83" s="1"/>
      <c r="J83" s="1"/>
      <c r="K83" s="1"/>
      <c r="L83" s="1"/>
      <c r="M83" s="1"/>
      <c r="N83" s="1"/>
      <c r="O83" s="1"/>
      <c r="P83" s="1"/>
      <c r="Q83" s="1"/>
      <c r="R83" s="2"/>
      <c r="S83" s="2"/>
      <c r="T83" s="2"/>
      <c r="U83" s="2"/>
      <c r="V83" s="2"/>
      <c r="W83" s="2"/>
      <c r="X83" s="2"/>
      <c r="Y83" s="2"/>
      <c r="Z83" s="2"/>
    </row>
    <row r="84" ht="15.75" customHeight="1">
      <c r="A84" s="1"/>
      <c r="B84" s="1"/>
      <c r="C84" s="1"/>
      <c r="D84" s="1"/>
      <c r="E84" s="1"/>
      <c r="F84" s="1"/>
      <c r="G84" s="1"/>
      <c r="H84" s="1"/>
      <c r="I84" s="1"/>
      <c r="J84" s="1"/>
      <c r="K84" s="1"/>
      <c r="L84" s="1"/>
      <c r="M84" s="1"/>
      <c r="N84" s="1"/>
      <c r="O84" s="1"/>
      <c r="P84" s="1"/>
      <c r="Q84" s="1"/>
      <c r="R84" s="2"/>
      <c r="S84" s="2"/>
      <c r="T84" s="2"/>
      <c r="U84" s="2"/>
      <c r="V84" s="2"/>
      <c r="W84" s="2"/>
      <c r="X84" s="2"/>
      <c r="Y84" s="2"/>
      <c r="Z84" s="2"/>
    </row>
    <row r="85" ht="15.75" customHeight="1">
      <c r="A85" s="1"/>
      <c r="B85" s="1"/>
      <c r="C85" s="1"/>
      <c r="D85" s="1"/>
      <c r="E85" s="1"/>
      <c r="F85" s="1"/>
      <c r="G85" s="1"/>
      <c r="H85" s="1"/>
      <c r="I85" s="1"/>
      <c r="J85" s="1"/>
      <c r="K85" s="1"/>
      <c r="L85" s="1"/>
      <c r="M85" s="1"/>
      <c r="N85" s="1"/>
      <c r="O85" s="1"/>
      <c r="P85" s="1"/>
      <c r="Q85" s="1"/>
      <c r="R85" s="2"/>
      <c r="S85" s="2"/>
      <c r="T85" s="2"/>
      <c r="U85" s="2"/>
      <c r="V85" s="2"/>
      <c r="W85" s="2"/>
      <c r="X85" s="2"/>
      <c r="Y85" s="2"/>
      <c r="Z85" s="2"/>
    </row>
    <row r="86" ht="15.75" customHeight="1">
      <c r="A86" s="1"/>
      <c r="B86" s="1"/>
      <c r="C86" s="1"/>
      <c r="D86" s="1"/>
      <c r="E86" s="1"/>
      <c r="F86" s="1"/>
      <c r="G86" s="1"/>
      <c r="H86" s="1"/>
      <c r="I86" s="1"/>
      <c r="J86" s="1"/>
      <c r="K86" s="1"/>
      <c r="L86" s="1"/>
      <c r="M86" s="1"/>
      <c r="N86" s="1"/>
      <c r="O86" s="1"/>
      <c r="P86" s="1"/>
      <c r="Q86" s="1"/>
      <c r="R86" s="2"/>
      <c r="S86" s="2"/>
      <c r="T86" s="2"/>
      <c r="U86" s="2"/>
      <c r="V86" s="2"/>
      <c r="W86" s="2"/>
      <c r="X86" s="2"/>
      <c r="Y86" s="2"/>
      <c r="Z86" s="2"/>
    </row>
    <row r="87" ht="15.75" customHeight="1">
      <c r="A87" s="1"/>
      <c r="B87" s="1"/>
      <c r="C87" s="1"/>
      <c r="D87" s="1"/>
      <c r="E87" s="1"/>
      <c r="F87" s="1"/>
      <c r="G87" s="1"/>
      <c r="H87" s="1"/>
      <c r="I87" s="1"/>
      <c r="J87" s="1"/>
      <c r="K87" s="1"/>
      <c r="L87" s="1"/>
      <c r="M87" s="1"/>
      <c r="N87" s="1"/>
      <c r="O87" s="1"/>
      <c r="P87" s="1"/>
      <c r="Q87" s="1"/>
      <c r="R87" s="2"/>
      <c r="S87" s="2"/>
      <c r="T87" s="2"/>
      <c r="U87" s="2"/>
      <c r="V87" s="2"/>
      <c r="W87" s="2"/>
      <c r="X87" s="2"/>
      <c r="Y87" s="2"/>
      <c r="Z87" s="2"/>
    </row>
    <row r="88" ht="15.75" customHeight="1">
      <c r="A88" s="1"/>
      <c r="B88" s="1"/>
      <c r="C88" s="1"/>
      <c r="D88" s="1"/>
      <c r="E88" s="1"/>
      <c r="F88" s="1"/>
      <c r="G88" s="1"/>
      <c r="H88" s="1"/>
      <c r="I88" s="1"/>
      <c r="J88" s="1"/>
      <c r="K88" s="1"/>
      <c r="L88" s="1"/>
      <c r="M88" s="1"/>
      <c r="N88" s="1"/>
      <c r="O88" s="1"/>
      <c r="P88" s="1"/>
      <c r="Q88" s="1"/>
      <c r="R88" s="2"/>
      <c r="S88" s="2"/>
      <c r="T88" s="2"/>
      <c r="U88" s="2"/>
      <c r="V88" s="2"/>
      <c r="W88" s="2"/>
      <c r="X88" s="2"/>
      <c r="Y88" s="2"/>
      <c r="Z88" s="2"/>
    </row>
    <row r="89" ht="15.75" customHeight="1">
      <c r="A89" s="1"/>
      <c r="B89" s="1"/>
      <c r="C89" s="1"/>
      <c r="D89" s="1"/>
      <c r="E89" s="1"/>
      <c r="F89" s="1"/>
      <c r="G89" s="1"/>
      <c r="H89" s="1"/>
      <c r="I89" s="1"/>
      <c r="J89" s="1"/>
      <c r="K89" s="1"/>
      <c r="L89" s="1"/>
      <c r="M89" s="1"/>
      <c r="N89" s="1"/>
      <c r="O89" s="1"/>
      <c r="P89" s="1"/>
      <c r="Q89" s="1"/>
      <c r="R89" s="2"/>
      <c r="S89" s="2"/>
      <c r="T89" s="2"/>
      <c r="U89" s="2"/>
      <c r="V89" s="2"/>
      <c r="W89" s="2"/>
      <c r="X89" s="2"/>
      <c r="Y89" s="2"/>
      <c r="Z89" s="2"/>
    </row>
    <row r="90" ht="15.75" customHeight="1">
      <c r="A90" s="1"/>
      <c r="B90" s="1"/>
      <c r="C90" s="1"/>
      <c r="D90" s="1"/>
      <c r="E90" s="1"/>
      <c r="F90" s="1"/>
      <c r="G90" s="1"/>
      <c r="H90" s="1"/>
      <c r="I90" s="1"/>
      <c r="J90" s="1"/>
      <c r="K90" s="1"/>
      <c r="L90" s="1"/>
      <c r="M90" s="1"/>
      <c r="N90" s="1"/>
      <c r="O90" s="1"/>
      <c r="P90" s="1"/>
      <c r="Q90" s="1"/>
      <c r="R90" s="2"/>
      <c r="S90" s="2"/>
      <c r="T90" s="2"/>
      <c r="U90" s="2"/>
      <c r="V90" s="2"/>
      <c r="W90" s="2"/>
      <c r="X90" s="2"/>
      <c r="Y90" s="2"/>
      <c r="Z90" s="2"/>
    </row>
    <row r="91" ht="15.75" customHeight="1">
      <c r="A91" s="1"/>
      <c r="B91" s="1"/>
      <c r="C91" s="1"/>
      <c r="D91" s="1"/>
      <c r="E91" s="1"/>
      <c r="F91" s="1"/>
      <c r="G91" s="1"/>
      <c r="H91" s="1"/>
      <c r="I91" s="1"/>
      <c r="J91" s="1"/>
      <c r="K91" s="1"/>
      <c r="L91" s="1"/>
      <c r="M91" s="1"/>
      <c r="N91" s="1"/>
      <c r="O91" s="1"/>
      <c r="P91" s="1"/>
      <c r="Q91" s="1"/>
      <c r="R91" s="2"/>
      <c r="S91" s="2"/>
      <c r="T91" s="2"/>
      <c r="U91" s="2"/>
      <c r="V91" s="2"/>
      <c r="W91" s="2"/>
      <c r="X91" s="2"/>
      <c r="Y91" s="2"/>
      <c r="Z91" s="2"/>
    </row>
    <row r="92" ht="15.75" customHeight="1">
      <c r="A92" s="1"/>
      <c r="B92" s="1"/>
      <c r="C92" s="1"/>
      <c r="D92" s="1"/>
      <c r="E92" s="1"/>
      <c r="F92" s="1"/>
      <c r="G92" s="1"/>
      <c r="H92" s="1"/>
      <c r="I92" s="1"/>
      <c r="J92" s="1"/>
      <c r="K92" s="1"/>
      <c r="L92" s="1"/>
      <c r="M92" s="1"/>
      <c r="N92" s="1"/>
      <c r="O92" s="1"/>
      <c r="P92" s="1"/>
      <c r="Q92" s="1"/>
      <c r="R92" s="2"/>
      <c r="S92" s="2"/>
      <c r="T92" s="2"/>
      <c r="U92" s="2"/>
      <c r="V92" s="2"/>
      <c r="W92" s="2"/>
      <c r="X92" s="2"/>
      <c r="Y92" s="2"/>
      <c r="Z92" s="2"/>
    </row>
    <row r="93" ht="15.75" customHeight="1">
      <c r="A93" s="1"/>
      <c r="B93" s="1"/>
      <c r="C93" s="1"/>
      <c r="D93" s="1"/>
      <c r="E93" s="1"/>
      <c r="F93" s="1"/>
      <c r="G93" s="1"/>
      <c r="H93" s="1"/>
      <c r="I93" s="1"/>
      <c r="J93" s="1"/>
      <c r="K93" s="1"/>
      <c r="L93" s="1"/>
      <c r="M93" s="1"/>
      <c r="N93" s="1"/>
      <c r="O93" s="1"/>
      <c r="P93" s="1"/>
      <c r="Q93" s="1"/>
      <c r="R93" s="2"/>
      <c r="S93" s="2"/>
      <c r="T93" s="2"/>
      <c r="U93" s="2"/>
      <c r="V93" s="2"/>
      <c r="W93" s="2"/>
      <c r="X93" s="2"/>
      <c r="Y93" s="2"/>
      <c r="Z93" s="2"/>
    </row>
    <row r="94" ht="15.75" customHeight="1">
      <c r="A94" s="1"/>
      <c r="B94" s="1"/>
      <c r="C94" s="1"/>
      <c r="D94" s="1"/>
      <c r="E94" s="1"/>
      <c r="F94" s="1"/>
      <c r="G94" s="1"/>
      <c r="H94" s="1"/>
      <c r="I94" s="1"/>
      <c r="J94" s="1"/>
      <c r="K94" s="1"/>
      <c r="L94" s="1"/>
      <c r="M94" s="1"/>
      <c r="N94" s="1"/>
      <c r="O94" s="1"/>
      <c r="P94" s="1"/>
      <c r="Q94" s="1"/>
      <c r="R94" s="2"/>
      <c r="S94" s="2"/>
      <c r="T94" s="2"/>
      <c r="U94" s="2"/>
      <c r="V94" s="2"/>
      <c r="W94" s="2"/>
      <c r="X94" s="2"/>
      <c r="Y94" s="2"/>
      <c r="Z94" s="2"/>
    </row>
    <row r="95" ht="15.75" customHeight="1">
      <c r="A95" s="1"/>
      <c r="B95" s="1"/>
      <c r="C95" s="1"/>
      <c r="D95" s="1"/>
      <c r="E95" s="1"/>
      <c r="F95" s="1"/>
      <c r="G95" s="1"/>
      <c r="H95" s="1"/>
      <c r="I95" s="1"/>
      <c r="J95" s="1"/>
      <c r="K95" s="1"/>
      <c r="L95" s="1"/>
      <c r="M95" s="1"/>
      <c r="N95" s="1"/>
      <c r="O95" s="1"/>
      <c r="P95" s="1"/>
      <c r="Q95" s="1"/>
      <c r="R95" s="2"/>
      <c r="S95" s="2"/>
      <c r="T95" s="2"/>
      <c r="U95" s="2"/>
      <c r="V95" s="2"/>
      <c r="W95" s="2"/>
      <c r="X95" s="2"/>
      <c r="Y95" s="2"/>
      <c r="Z95" s="2"/>
    </row>
    <row r="96" ht="15.75" customHeight="1">
      <c r="A96" s="1"/>
      <c r="B96" s="1"/>
      <c r="C96" s="1"/>
      <c r="D96" s="1"/>
      <c r="E96" s="1"/>
      <c r="F96" s="1"/>
      <c r="G96" s="1"/>
      <c r="H96" s="1"/>
      <c r="I96" s="1"/>
      <c r="J96" s="1"/>
      <c r="K96" s="1"/>
      <c r="L96" s="1"/>
      <c r="M96" s="1"/>
      <c r="N96" s="1"/>
      <c r="O96" s="1"/>
      <c r="P96" s="1"/>
      <c r="Q96" s="1"/>
      <c r="R96" s="2"/>
      <c r="S96" s="2"/>
      <c r="T96" s="2"/>
      <c r="U96" s="2"/>
      <c r="V96" s="2"/>
      <c r="W96" s="2"/>
      <c r="X96" s="2"/>
      <c r="Y96" s="2"/>
      <c r="Z96" s="2"/>
    </row>
    <row r="97" ht="15.75" customHeight="1">
      <c r="A97" s="1"/>
      <c r="B97" s="1"/>
      <c r="C97" s="1"/>
      <c r="D97" s="1"/>
      <c r="E97" s="1"/>
      <c r="F97" s="1"/>
      <c r="G97" s="1"/>
      <c r="H97" s="1"/>
      <c r="I97" s="1"/>
      <c r="J97" s="1"/>
      <c r="K97" s="1"/>
      <c r="L97" s="1"/>
      <c r="M97" s="1"/>
      <c r="N97" s="1"/>
      <c r="O97" s="1"/>
      <c r="P97" s="1"/>
      <c r="Q97" s="1"/>
      <c r="R97" s="2"/>
      <c r="S97" s="2"/>
      <c r="T97" s="2"/>
      <c r="U97" s="2"/>
      <c r="V97" s="2"/>
      <c r="W97" s="2"/>
      <c r="X97" s="2"/>
      <c r="Y97" s="2"/>
      <c r="Z97" s="2"/>
    </row>
    <row r="98" ht="15.75" customHeight="1">
      <c r="A98" s="1"/>
      <c r="B98" s="1"/>
      <c r="C98" s="1"/>
      <c r="D98" s="1"/>
      <c r="E98" s="1"/>
      <c r="F98" s="1"/>
      <c r="G98" s="1"/>
      <c r="H98" s="1"/>
      <c r="I98" s="1"/>
      <c r="J98" s="1"/>
      <c r="K98" s="1"/>
      <c r="L98" s="1"/>
      <c r="M98" s="1"/>
      <c r="N98" s="1"/>
      <c r="O98" s="1"/>
      <c r="P98" s="1"/>
      <c r="Q98" s="1"/>
      <c r="R98" s="2"/>
      <c r="S98" s="2"/>
      <c r="T98" s="2"/>
      <c r="U98" s="2"/>
      <c r="V98" s="2"/>
      <c r="W98" s="2"/>
      <c r="X98" s="2"/>
      <c r="Y98" s="2"/>
      <c r="Z98" s="2"/>
    </row>
    <row r="99" ht="15.75" customHeight="1">
      <c r="A99" s="1"/>
      <c r="B99" s="1"/>
      <c r="C99" s="1"/>
      <c r="D99" s="1"/>
      <c r="E99" s="1"/>
      <c r="F99" s="1"/>
      <c r="G99" s="1"/>
      <c r="H99" s="1"/>
      <c r="I99" s="1"/>
      <c r="J99" s="1"/>
      <c r="K99" s="1"/>
      <c r="L99" s="1"/>
      <c r="M99" s="1"/>
      <c r="N99" s="1"/>
      <c r="O99" s="1"/>
      <c r="P99" s="1"/>
      <c r="Q99" s="1"/>
      <c r="R99" s="2"/>
      <c r="S99" s="2"/>
      <c r="T99" s="2"/>
      <c r="U99" s="2"/>
      <c r="V99" s="2"/>
      <c r="W99" s="2"/>
      <c r="X99" s="2"/>
      <c r="Y99" s="2"/>
      <c r="Z99" s="2"/>
    </row>
    <row r="100" ht="15.75" customHeight="1">
      <c r="A100" s="1"/>
      <c r="B100" s="1"/>
      <c r="C100" s="1"/>
      <c r="D100" s="1"/>
      <c r="E100" s="1"/>
      <c r="F100" s="1"/>
      <c r="G100" s="1"/>
      <c r="H100" s="1"/>
      <c r="I100" s="1"/>
      <c r="J100" s="1"/>
      <c r="K100" s="1"/>
      <c r="L100" s="1"/>
      <c r="M100" s="1"/>
      <c r="N100" s="1"/>
      <c r="O100" s="1"/>
      <c r="P100" s="1"/>
      <c r="Q100" s="1"/>
      <c r="R100" s="2"/>
      <c r="S100" s="2"/>
      <c r="T100" s="2"/>
      <c r="U100" s="2"/>
      <c r="V100" s="2"/>
      <c r="W100" s="2"/>
      <c r="X100" s="2"/>
      <c r="Y100" s="2"/>
      <c r="Z100" s="2"/>
    </row>
    <row r="101" ht="15.75" customHeight="1">
      <c r="A101" s="1"/>
      <c r="B101" s="1"/>
      <c r="C101" s="1"/>
      <c r="D101" s="1"/>
      <c r="E101" s="1"/>
      <c r="F101" s="1"/>
      <c r="G101" s="1"/>
      <c r="H101" s="1"/>
      <c r="I101" s="1"/>
      <c r="J101" s="1"/>
      <c r="K101" s="1"/>
      <c r="L101" s="1"/>
      <c r="M101" s="1"/>
      <c r="N101" s="1"/>
      <c r="O101" s="1"/>
      <c r="P101" s="1"/>
      <c r="Q101" s="1"/>
      <c r="R101" s="2"/>
      <c r="S101" s="2"/>
      <c r="T101" s="2"/>
      <c r="U101" s="2"/>
      <c r="V101" s="2"/>
      <c r="W101" s="2"/>
      <c r="X101" s="2"/>
      <c r="Y101" s="2"/>
      <c r="Z101" s="2"/>
    </row>
    <row r="102" ht="15.75" customHeight="1">
      <c r="A102" s="1"/>
      <c r="B102" s="1"/>
      <c r="C102" s="1"/>
      <c r="D102" s="1"/>
      <c r="E102" s="1"/>
      <c r="F102" s="1"/>
      <c r="G102" s="1"/>
      <c r="H102" s="1"/>
      <c r="I102" s="1"/>
      <c r="J102" s="1"/>
      <c r="K102" s="1"/>
      <c r="L102" s="1"/>
      <c r="M102" s="1"/>
      <c r="N102" s="1"/>
      <c r="O102" s="1"/>
      <c r="P102" s="1"/>
      <c r="Q102" s="1"/>
      <c r="R102" s="2"/>
      <c r="S102" s="2"/>
      <c r="T102" s="2"/>
      <c r="U102" s="2"/>
      <c r="V102" s="2"/>
      <c r="W102" s="2"/>
      <c r="X102" s="2"/>
      <c r="Y102" s="2"/>
      <c r="Z102" s="2"/>
    </row>
    <row r="103" ht="15.75" customHeight="1">
      <c r="A103" s="1"/>
      <c r="B103" s="1"/>
      <c r="C103" s="1"/>
      <c r="D103" s="1"/>
      <c r="E103" s="1"/>
      <c r="F103" s="1"/>
      <c r="G103" s="1"/>
      <c r="H103" s="1"/>
      <c r="I103" s="1"/>
      <c r="J103" s="1"/>
      <c r="K103" s="1"/>
      <c r="L103" s="1"/>
      <c r="M103" s="1"/>
      <c r="N103" s="1"/>
      <c r="O103" s="1"/>
      <c r="P103" s="1"/>
      <c r="Q103" s="1"/>
      <c r="R103" s="2"/>
      <c r="S103" s="2"/>
      <c r="T103" s="2"/>
      <c r="U103" s="2"/>
      <c r="V103" s="2"/>
      <c r="W103" s="2"/>
      <c r="X103" s="2"/>
      <c r="Y103" s="2"/>
      <c r="Z103" s="2"/>
    </row>
    <row r="104" ht="15.75" customHeight="1">
      <c r="A104" s="1"/>
      <c r="B104" s="1"/>
      <c r="C104" s="1"/>
      <c r="D104" s="1"/>
      <c r="E104" s="1"/>
      <c r="F104" s="1"/>
      <c r="G104" s="1"/>
      <c r="H104" s="1"/>
      <c r="I104" s="1"/>
      <c r="J104" s="1"/>
      <c r="K104" s="1"/>
      <c r="L104" s="1"/>
      <c r="M104" s="1"/>
      <c r="N104" s="1"/>
      <c r="O104" s="1"/>
      <c r="P104" s="1"/>
      <c r="Q104" s="1"/>
      <c r="R104" s="2"/>
      <c r="S104" s="2"/>
      <c r="T104" s="2"/>
      <c r="U104" s="2"/>
      <c r="V104" s="2"/>
      <c r="W104" s="2"/>
      <c r="X104" s="2"/>
      <c r="Y104" s="2"/>
      <c r="Z104" s="2"/>
    </row>
    <row r="105" ht="15.75" customHeight="1">
      <c r="A105" s="1"/>
      <c r="B105" s="1"/>
      <c r="C105" s="1"/>
      <c r="D105" s="1"/>
      <c r="E105" s="1"/>
      <c r="F105" s="1"/>
      <c r="G105" s="1"/>
      <c r="H105" s="1"/>
      <c r="I105" s="1"/>
      <c r="J105" s="1"/>
      <c r="K105" s="1"/>
      <c r="L105" s="1"/>
      <c r="M105" s="1"/>
      <c r="N105" s="1"/>
      <c r="O105" s="1"/>
      <c r="P105" s="1"/>
      <c r="Q105" s="1"/>
      <c r="R105" s="2"/>
      <c r="S105" s="2"/>
      <c r="T105" s="2"/>
      <c r="U105" s="2"/>
      <c r="V105" s="2"/>
      <c r="W105" s="2"/>
      <c r="X105" s="2"/>
      <c r="Y105" s="2"/>
      <c r="Z105" s="2"/>
    </row>
    <row r="106" ht="15.75" customHeight="1">
      <c r="A106" s="1"/>
      <c r="B106" s="1"/>
      <c r="C106" s="1"/>
      <c r="D106" s="1"/>
      <c r="E106" s="1"/>
      <c r="F106" s="1"/>
      <c r="G106" s="1"/>
      <c r="H106" s="1"/>
      <c r="I106" s="1"/>
      <c r="J106" s="1"/>
      <c r="K106" s="1"/>
      <c r="L106" s="1"/>
      <c r="M106" s="1"/>
      <c r="N106" s="1"/>
      <c r="O106" s="1"/>
      <c r="P106" s="1"/>
      <c r="Q106" s="1"/>
      <c r="R106" s="2"/>
      <c r="S106" s="2"/>
      <c r="T106" s="2"/>
      <c r="U106" s="2"/>
      <c r="V106" s="2"/>
      <c r="W106" s="2"/>
      <c r="X106" s="2"/>
      <c r="Y106" s="2"/>
      <c r="Z106" s="2"/>
    </row>
    <row r="107" ht="15.75" customHeight="1">
      <c r="A107" s="1"/>
      <c r="B107" s="1"/>
      <c r="C107" s="1"/>
      <c r="D107" s="1"/>
      <c r="E107" s="1"/>
      <c r="F107" s="1"/>
      <c r="G107" s="1"/>
      <c r="H107" s="1"/>
      <c r="I107" s="1"/>
      <c r="J107" s="1"/>
      <c r="K107" s="1"/>
      <c r="L107" s="1"/>
      <c r="M107" s="1"/>
      <c r="N107" s="1"/>
      <c r="O107" s="1"/>
      <c r="P107" s="1"/>
      <c r="Q107" s="1"/>
      <c r="R107" s="2"/>
      <c r="S107" s="2"/>
      <c r="T107" s="2"/>
      <c r="U107" s="2"/>
      <c r="V107" s="2"/>
      <c r="W107" s="2"/>
      <c r="X107" s="2"/>
      <c r="Y107" s="2"/>
      <c r="Z107" s="2"/>
    </row>
    <row r="108" ht="15.75" customHeight="1">
      <c r="A108" s="1"/>
      <c r="B108" s="1"/>
      <c r="C108" s="1"/>
      <c r="D108" s="1"/>
      <c r="E108" s="1"/>
      <c r="F108" s="1"/>
      <c r="G108" s="1"/>
      <c r="H108" s="1"/>
      <c r="I108" s="1"/>
      <c r="J108" s="1"/>
      <c r="K108" s="1"/>
      <c r="L108" s="1"/>
      <c r="M108" s="1"/>
      <c r="N108" s="1"/>
      <c r="O108" s="1"/>
      <c r="P108" s="1"/>
      <c r="Q108" s="1"/>
      <c r="R108" s="2"/>
      <c r="S108" s="2"/>
      <c r="T108" s="2"/>
      <c r="U108" s="2"/>
      <c r="V108" s="2"/>
      <c r="W108" s="2"/>
      <c r="X108" s="2"/>
      <c r="Y108" s="2"/>
      <c r="Z108" s="2"/>
    </row>
    <row r="109" ht="15.75" customHeight="1">
      <c r="A109" s="1"/>
      <c r="B109" s="1"/>
      <c r="C109" s="1"/>
      <c r="D109" s="1"/>
      <c r="E109" s="1"/>
      <c r="F109" s="1"/>
      <c r="G109" s="1"/>
      <c r="H109" s="1"/>
      <c r="I109" s="1"/>
      <c r="J109" s="1"/>
      <c r="K109" s="1"/>
      <c r="L109" s="1"/>
      <c r="M109" s="1"/>
      <c r="N109" s="1"/>
      <c r="O109" s="1"/>
      <c r="P109" s="1"/>
      <c r="Q109" s="1"/>
      <c r="R109" s="2"/>
      <c r="S109" s="2"/>
      <c r="T109" s="2"/>
      <c r="U109" s="2"/>
      <c r="V109" s="2"/>
      <c r="W109" s="2"/>
      <c r="X109" s="2"/>
      <c r="Y109" s="2"/>
      <c r="Z109" s="2"/>
    </row>
    <row r="110" ht="15.75" customHeight="1">
      <c r="A110" s="1"/>
      <c r="B110" s="1"/>
      <c r="C110" s="1"/>
      <c r="D110" s="1"/>
      <c r="E110" s="1"/>
      <c r="F110" s="1"/>
      <c r="G110" s="1"/>
      <c r="H110" s="1"/>
      <c r="I110" s="1"/>
      <c r="J110" s="1"/>
      <c r="K110" s="1"/>
      <c r="L110" s="1"/>
      <c r="M110" s="1"/>
      <c r="N110" s="1"/>
      <c r="O110" s="1"/>
      <c r="P110" s="1"/>
      <c r="Q110" s="1"/>
      <c r="R110" s="2"/>
      <c r="S110" s="2"/>
      <c r="T110" s="2"/>
      <c r="U110" s="2"/>
      <c r="V110" s="2"/>
      <c r="W110" s="2"/>
      <c r="X110" s="2"/>
      <c r="Y110" s="2"/>
      <c r="Z110" s="2"/>
    </row>
    <row r="111" ht="15.75" customHeight="1">
      <c r="A111" s="1"/>
      <c r="B111" s="1"/>
      <c r="C111" s="1"/>
      <c r="D111" s="1"/>
      <c r="E111" s="1"/>
      <c r="F111" s="1"/>
      <c r="G111" s="1"/>
      <c r="H111" s="1"/>
      <c r="I111" s="1"/>
      <c r="J111" s="1"/>
      <c r="K111" s="1"/>
      <c r="L111" s="1"/>
      <c r="M111" s="1"/>
      <c r="N111" s="1"/>
      <c r="O111" s="1"/>
      <c r="P111" s="1"/>
      <c r="Q111" s="1"/>
      <c r="R111" s="2"/>
      <c r="S111" s="2"/>
      <c r="T111" s="2"/>
      <c r="U111" s="2"/>
      <c r="V111" s="2"/>
      <c r="W111" s="2"/>
      <c r="X111" s="2"/>
      <c r="Y111" s="2"/>
      <c r="Z111" s="2"/>
    </row>
    <row r="112" ht="15.75" customHeight="1">
      <c r="A112" s="1"/>
      <c r="B112" s="1"/>
      <c r="C112" s="1"/>
      <c r="D112" s="1"/>
      <c r="E112" s="1"/>
      <c r="F112" s="1"/>
      <c r="G112" s="1"/>
      <c r="H112" s="1"/>
      <c r="I112" s="1"/>
      <c r="J112" s="1"/>
      <c r="K112" s="1"/>
      <c r="L112" s="1"/>
      <c r="M112" s="1"/>
      <c r="N112" s="1"/>
      <c r="O112" s="1"/>
      <c r="P112" s="1"/>
      <c r="Q112" s="1"/>
      <c r="R112" s="2"/>
      <c r="S112" s="2"/>
      <c r="T112" s="2"/>
      <c r="U112" s="2"/>
      <c r="V112" s="2"/>
      <c r="W112" s="2"/>
      <c r="X112" s="2"/>
      <c r="Y112" s="2"/>
      <c r="Z112" s="2"/>
    </row>
    <row r="113" ht="15.75" customHeight="1">
      <c r="A113" s="1"/>
      <c r="B113" s="1"/>
      <c r="C113" s="1"/>
      <c r="D113" s="1"/>
      <c r="E113" s="1"/>
      <c r="F113" s="1"/>
      <c r="G113" s="1"/>
      <c r="H113" s="1"/>
      <c r="I113" s="1"/>
      <c r="J113" s="1"/>
      <c r="K113" s="1"/>
      <c r="L113" s="1"/>
      <c r="M113" s="1"/>
      <c r="N113" s="1"/>
      <c r="O113" s="1"/>
      <c r="P113" s="1"/>
      <c r="Q113" s="1"/>
      <c r="R113" s="2"/>
      <c r="S113" s="2"/>
      <c r="T113" s="2"/>
      <c r="U113" s="2"/>
      <c r="V113" s="2"/>
      <c r="W113" s="2"/>
      <c r="X113" s="2"/>
      <c r="Y113" s="2"/>
      <c r="Z113" s="2"/>
    </row>
    <row r="114" ht="15.75" customHeight="1">
      <c r="A114" s="1"/>
      <c r="B114" s="1"/>
      <c r="C114" s="1"/>
      <c r="D114" s="1"/>
      <c r="E114" s="1"/>
      <c r="F114" s="1"/>
      <c r="G114" s="1"/>
      <c r="H114" s="1"/>
      <c r="I114" s="1"/>
      <c r="J114" s="1"/>
      <c r="K114" s="1"/>
      <c r="L114" s="1"/>
      <c r="M114" s="1"/>
      <c r="N114" s="1"/>
      <c r="O114" s="1"/>
      <c r="P114" s="1"/>
      <c r="Q114" s="1"/>
      <c r="R114" s="2"/>
      <c r="S114" s="2"/>
      <c r="T114" s="2"/>
      <c r="U114" s="2"/>
      <c r="V114" s="2"/>
      <c r="W114" s="2"/>
      <c r="X114" s="2"/>
      <c r="Y114" s="2"/>
      <c r="Z114" s="2"/>
    </row>
    <row r="115" ht="15.75" customHeight="1">
      <c r="A115" s="1"/>
      <c r="B115" s="1"/>
      <c r="C115" s="1"/>
      <c r="D115" s="1"/>
      <c r="E115" s="1"/>
      <c r="F115" s="1"/>
      <c r="G115" s="1"/>
      <c r="H115" s="1"/>
      <c r="I115" s="1"/>
      <c r="J115" s="1"/>
      <c r="K115" s="1"/>
      <c r="L115" s="1"/>
      <c r="M115" s="1"/>
      <c r="N115" s="1"/>
      <c r="O115" s="1"/>
      <c r="P115" s="1"/>
      <c r="Q115" s="1"/>
      <c r="R115" s="2"/>
      <c r="S115" s="2"/>
      <c r="T115" s="2"/>
      <c r="U115" s="2"/>
      <c r="V115" s="2"/>
      <c r="W115" s="2"/>
      <c r="X115" s="2"/>
      <c r="Y115" s="2"/>
      <c r="Z115" s="2"/>
    </row>
    <row r="116" ht="15.75" customHeight="1">
      <c r="A116" s="1"/>
      <c r="B116" s="1"/>
      <c r="C116" s="1"/>
      <c r="D116" s="1"/>
      <c r="E116" s="1"/>
      <c r="F116" s="1"/>
      <c r="G116" s="1"/>
      <c r="H116" s="1"/>
      <c r="I116" s="1"/>
      <c r="J116" s="1"/>
      <c r="K116" s="1"/>
      <c r="L116" s="1"/>
      <c r="M116" s="1"/>
      <c r="N116" s="1"/>
      <c r="O116" s="1"/>
      <c r="P116" s="1"/>
      <c r="Q116" s="1"/>
      <c r="R116" s="2"/>
      <c r="S116" s="2"/>
      <c r="T116" s="2"/>
      <c r="U116" s="2"/>
      <c r="V116" s="2"/>
      <c r="W116" s="2"/>
      <c r="X116" s="2"/>
      <c r="Y116" s="2"/>
      <c r="Z116" s="2"/>
    </row>
    <row r="117" ht="15.75" customHeight="1">
      <c r="A117" s="1"/>
      <c r="B117" s="1"/>
      <c r="C117" s="1"/>
      <c r="D117" s="1"/>
      <c r="E117" s="1"/>
      <c r="F117" s="1"/>
      <c r="G117" s="1"/>
      <c r="H117" s="1"/>
      <c r="I117" s="1"/>
      <c r="J117" s="1"/>
      <c r="K117" s="1"/>
      <c r="L117" s="1"/>
      <c r="M117" s="1"/>
      <c r="N117" s="1"/>
      <c r="O117" s="1"/>
      <c r="P117" s="1"/>
      <c r="Q117" s="1"/>
      <c r="R117" s="2"/>
      <c r="S117" s="2"/>
      <c r="T117" s="2"/>
      <c r="U117" s="2"/>
      <c r="V117" s="2"/>
      <c r="W117" s="2"/>
      <c r="X117" s="2"/>
      <c r="Y117" s="2"/>
      <c r="Z117" s="2"/>
    </row>
    <row r="118" ht="15.75" customHeight="1">
      <c r="A118" s="1"/>
      <c r="B118" s="1"/>
      <c r="C118" s="1"/>
      <c r="D118" s="1"/>
      <c r="E118" s="1"/>
      <c r="F118" s="1"/>
      <c r="G118" s="1"/>
      <c r="H118" s="1"/>
      <c r="I118" s="1"/>
      <c r="J118" s="1"/>
      <c r="K118" s="1"/>
      <c r="L118" s="1"/>
      <c r="M118" s="1"/>
      <c r="N118" s="1"/>
      <c r="O118" s="1"/>
      <c r="P118" s="1"/>
      <c r="Q118" s="1"/>
      <c r="R118" s="2"/>
      <c r="S118" s="2"/>
      <c r="T118" s="2"/>
      <c r="U118" s="2"/>
      <c r="V118" s="2"/>
      <c r="W118" s="2"/>
      <c r="X118" s="2"/>
      <c r="Y118" s="2"/>
      <c r="Z118" s="2"/>
    </row>
    <row r="119" ht="15.75" customHeight="1">
      <c r="A119" s="1"/>
      <c r="B119" s="1"/>
      <c r="C119" s="1"/>
      <c r="D119" s="1"/>
      <c r="E119" s="1"/>
      <c r="F119" s="1"/>
      <c r="G119" s="1"/>
      <c r="H119" s="1"/>
      <c r="I119" s="1"/>
      <c r="J119" s="1"/>
      <c r="K119" s="1"/>
      <c r="L119" s="1"/>
      <c r="M119" s="1"/>
      <c r="N119" s="1"/>
      <c r="O119" s="1"/>
      <c r="P119" s="1"/>
      <c r="Q119" s="1"/>
      <c r="R119" s="2"/>
      <c r="S119" s="2"/>
      <c r="T119" s="2"/>
      <c r="U119" s="2"/>
      <c r="V119" s="2"/>
      <c r="W119" s="2"/>
      <c r="X119" s="2"/>
      <c r="Y119" s="2"/>
      <c r="Z119" s="2"/>
    </row>
    <row r="120" ht="15.75" customHeight="1">
      <c r="A120" s="1"/>
      <c r="B120" s="1"/>
      <c r="C120" s="1"/>
      <c r="D120" s="1"/>
      <c r="E120" s="1"/>
      <c r="F120" s="1"/>
      <c r="G120" s="1"/>
      <c r="H120" s="1"/>
      <c r="I120" s="1"/>
      <c r="J120" s="1"/>
      <c r="K120" s="1"/>
      <c r="L120" s="1"/>
      <c r="M120" s="1"/>
      <c r="N120" s="1"/>
      <c r="O120" s="1"/>
      <c r="P120" s="1"/>
      <c r="Q120" s="1"/>
      <c r="R120" s="2"/>
      <c r="S120" s="2"/>
      <c r="T120" s="2"/>
      <c r="U120" s="2"/>
      <c r="V120" s="2"/>
      <c r="W120" s="2"/>
      <c r="X120" s="2"/>
      <c r="Y120" s="2"/>
      <c r="Z120" s="2"/>
    </row>
    <row r="121" ht="15.75" customHeight="1">
      <c r="A121" s="1"/>
      <c r="B121" s="1"/>
      <c r="C121" s="1"/>
      <c r="D121" s="1"/>
      <c r="E121" s="1"/>
      <c r="F121" s="1"/>
      <c r="G121" s="1"/>
      <c r="H121" s="1"/>
      <c r="I121" s="1"/>
      <c r="J121" s="1"/>
      <c r="K121" s="1"/>
      <c r="L121" s="1"/>
      <c r="M121" s="1"/>
      <c r="N121" s="1"/>
      <c r="O121" s="1"/>
      <c r="P121" s="1"/>
      <c r="Q121" s="1"/>
      <c r="R121" s="2"/>
      <c r="S121" s="2"/>
      <c r="T121" s="2"/>
      <c r="U121" s="2"/>
      <c r="V121" s="2"/>
      <c r="W121" s="2"/>
      <c r="X121" s="2"/>
      <c r="Y121" s="2"/>
      <c r="Z121" s="2"/>
    </row>
    <row r="122" ht="15.75" customHeight="1">
      <c r="A122" s="1"/>
      <c r="B122" s="1"/>
      <c r="C122" s="1"/>
      <c r="D122" s="1"/>
      <c r="E122" s="1"/>
      <c r="F122" s="1"/>
      <c r="G122" s="1"/>
      <c r="H122" s="1"/>
      <c r="I122" s="1"/>
      <c r="J122" s="1"/>
      <c r="K122" s="1"/>
      <c r="L122" s="1"/>
      <c r="M122" s="1"/>
      <c r="N122" s="1"/>
      <c r="O122" s="1"/>
      <c r="P122" s="1"/>
      <c r="Q122" s="1"/>
      <c r="R122" s="2"/>
      <c r="S122" s="2"/>
      <c r="T122" s="2"/>
      <c r="U122" s="2"/>
      <c r="V122" s="2"/>
      <c r="W122" s="2"/>
      <c r="X122" s="2"/>
      <c r="Y122" s="2"/>
      <c r="Z122" s="2"/>
    </row>
    <row r="123" ht="15.75" customHeight="1">
      <c r="A123" s="1"/>
      <c r="B123" s="1"/>
      <c r="C123" s="1"/>
      <c r="D123" s="1"/>
      <c r="E123" s="1"/>
      <c r="F123" s="1"/>
      <c r="G123" s="1"/>
      <c r="H123" s="1"/>
      <c r="I123" s="1"/>
      <c r="J123" s="1"/>
      <c r="K123" s="1"/>
      <c r="L123" s="1"/>
      <c r="M123" s="1"/>
      <c r="N123" s="1"/>
      <c r="O123" s="1"/>
      <c r="P123" s="1"/>
      <c r="Q123" s="1"/>
      <c r="R123" s="2"/>
      <c r="S123" s="2"/>
      <c r="T123" s="2"/>
      <c r="U123" s="2"/>
      <c r="V123" s="2"/>
      <c r="W123" s="2"/>
      <c r="X123" s="2"/>
      <c r="Y123" s="2"/>
      <c r="Z123" s="2"/>
    </row>
    <row r="124" ht="15.75" customHeight="1">
      <c r="A124" s="1"/>
      <c r="B124" s="1"/>
      <c r="C124" s="1"/>
      <c r="D124" s="1"/>
      <c r="E124" s="1"/>
      <c r="F124" s="1"/>
      <c r="G124" s="1"/>
      <c r="H124" s="1"/>
      <c r="I124" s="1"/>
      <c r="J124" s="1"/>
      <c r="K124" s="1"/>
      <c r="L124" s="1"/>
      <c r="M124" s="1"/>
      <c r="N124" s="1"/>
      <c r="O124" s="1"/>
      <c r="P124" s="1"/>
      <c r="Q124" s="1"/>
      <c r="R124" s="2"/>
      <c r="S124" s="2"/>
      <c r="T124" s="2"/>
      <c r="U124" s="2"/>
      <c r="V124" s="2"/>
      <c r="W124" s="2"/>
      <c r="X124" s="2"/>
      <c r="Y124" s="2"/>
      <c r="Z124" s="2"/>
    </row>
    <row r="125" ht="15.75" customHeight="1">
      <c r="A125" s="1"/>
      <c r="B125" s="1"/>
      <c r="C125" s="1"/>
      <c r="D125" s="1"/>
      <c r="E125" s="1"/>
      <c r="F125" s="1"/>
      <c r="G125" s="1"/>
      <c r="H125" s="1"/>
      <c r="I125" s="1"/>
      <c r="J125" s="1"/>
      <c r="K125" s="1"/>
      <c r="L125" s="1"/>
      <c r="M125" s="1"/>
      <c r="N125" s="1"/>
      <c r="O125" s="1"/>
      <c r="P125" s="1"/>
      <c r="Q125" s="1"/>
      <c r="R125" s="2"/>
      <c r="S125" s="2"/>
      <c r="T125" s="2"/>
      <c r="U125" s="2"/>
      <c r="V125" s="2"/>
      <c r="W125" s="2"/>
      <c r="X125" s="2"/>
      <c r="Y125" s="2"/>
      <c r="Z125" s="2"/>
    </row>
    <row r="126" ht="15.75" customHeight="1">
      <c r="A126" s="1"/>
      <c r="B126" s="1"/>
      <c r="C126" s="1"/>
      <c r="D126" s="1"/>
      <c r="E126" s="1"/>
      <c r="F126" s="1"/>
      <c r="G126" s="1"/>
      <c r="H126" s="1"/>
      <c r="I126" s="1"/>
      <c r="J126" s="1"/>
      <c r="K126" s="1"/>
      <c r="L126" s="1"/>
      <c r="M126" s="1"/>
      <c r="N126" s="1"/>
      <c r="O126" s="1"/>
      <c r="P126" s="1"/>
      <c r="Q126" s="1"/>
      <c r="R126" s="2"/>
      <c r="S126" s="2"/>
      <c r="T126" s="2"/>
      <c r="U126" s="2"/>
      <c r="V126" s="2"/>
      <c r="W126" s="2"/>
      <c r="X126" s="2"/>
      <c r="Y126" s="2"/>
      <c r="Z126" s="2"/>
    </row>
    <row r="127" ht="15.75" customHeight="1">
      <c r="A127" s="1"/>
      <c r="B127" s="1"/>
      <c r="C127" s="1"/>
      <c r="D127" s="1"/>
      <c r="E127" s="1"/>
      <c r="F127" s="1"/>
      <c r="G127" s="1"/>
      <c r="H127" s="1"/>
      <c r="I127" s="1"/>
      <c r="J127" s="1"/>
      <c r="K127" s="1"/>
      <c r="L127" s="1"/>
      <c r="M127" s="1"/>
      <c r="N127" s="1"/>
      <c r="O127" s="1"/>
      <c r="P127" s="1"/>
      <c r="Q127" s="1"/>
      <c r="R127" s="2"/>
      <c r="S127" s="2"/>
      <c r="T127" s="2"/>
      <c r="U127" s="2"/>
      <c r="V127" s="2"/>
      <c r="W127" s="2"/>
      <c r="X127" s="2"/>
      <c r="Y127" s="2"/>
      <c r="Z127" s="2"/>
    </row>
    <row r="128" ht="15.75" customHeight="1">
      <c r="A128" s="1"/>
      <c r="B128" s="1"/>
      <c r="C128" s="1"/>
      <c r="D128" s="1"/>
      <c r="E128" s="1"/>
      <c r="F128" s="1"/>
      <c r="G128" s="1"/>
      <c r="H128" s="1"/>
      <c r="I128" s="1"/>
      <c r="J128" s="1"/>
      <c r="K128" s="1"/>
      <c r="L128" s="1"/>
      <c r="M128" s="1"/>
      <c r="N128" s="1"/>
      <c r="O128" s="1"/>
      <c r="P128" s="1"/>
      <c r="Q128" s="1"/>
      <c r="R128" s="2"/>
      <c r="S128" s="2"/>
      <c r="T128" s="2"/>
      <c r="U128" s="2"/>
      <c r="V128" s="2"/>
      <c r="W128" s="2"/>
      <c r="X128" s="2"/>
      <c r="Y128" s="2"/>
      <c r="Z128" s="2"/>
    </row>
    <row r="129" ht="15.75" customHeight="1">
      <c r="A129" s="1"/>
      <c r="B129" s="1"/>
      <c r="C129" s="1"/>
      <c r="D129" s="1"/>
      <c r="E129" s="1"/>
      <c r="F129" s="1"/>
      <c r="G129" s="1"/>
      <c r="H129" s="1"/>
      <c r="I129" s="1"/>
      <c r="J129" s="1"/>
      <c r="K129" s="1"/>
      <c r="L129" s="1"/>
      <c r="M129" s="1"/>
      <c r="N129" s="1"/>
      <c r="O129" s="1"/>
      <c r="P129" s="1"/>
      <c r="Q129" s="1"/>
      <c r="R129" s="2"/>
      <c r="S129" s="2"/>
      <c r="T129" s="2"/>
      <c r="U129" s="2"/>
      <c r="V129" s="2"/>
      <c r="W129" s="2"/>
      <c r="X129" s="2"/>
      <c r="Y129" s="2"/>
      <c r="Z129" s="2"/>
    </row>
    <row r="130" ht="15.75" customHeight="1">
      <c r="A130" s="1"/>
      <c r="B130" s="1"/>
      <c r="C130" s="1"/>
      <c r="D130" s="1"/>
      <c r="E130" s="1"/>
      <c r="F130" s="1"/>
      <c r="G130" s="1"/>
      <c r="H130" s="1"/>
      <c r="I130" s="1"/>
      <c r="J130" s="1"/>
      <c r="K130" s="1"/>
      <c r="L130" s="1"/>
      <c r="M130" s="1"/>
      <c r="N130" s="1"/>
      <c r="O130" s="1"/>
      <c r="P130" s="1"/>
      <c r="Q130" s="1"/>
      <c r="R130" s="2"/>
      <c r="S130" s="2"/>
      <c r="T130" s="2"/>
      <c r="U130" s="2"/>
      <c r="V130" s="2"/>
      <c r="W130" s="2"/>
      <c r="X130" s="2"/>
      <c r="Y130" s="2"/>
      <c r="Z130" s="2"/>
    </row>
    <row r="131" ht="15.75" customHeight="1">
      <c r="A131" s="1"/>
      <c r="B131" s="1"/>
      <c r="C131" s="1"/>
      <c r="D131" s="1"/>
      <c r="E131" s="1"/>
      <c r="F131" s="1"/>
      <c r="G131" s="1"/>
      <c r="H131" s="1"/>
      <c r="I131" s="1"/>
      <c r="J131" s="1"/>
      <c r="K131" s="1"/>
      <c r="L131" s="1"/>
      <c r="M131" s="1"/>
      <c r="N131" s="1"/>
      <c r="O131" s="1"/>
      <c r="P131" s="1"/>
      <c r="Q131" s="1"/>
      <c r="R131" s="2"/>
      <c r="S131" s="2"/>
      <c r="T131" s="2"/>
      <c r="U131" s="2"/>
      <c r="V131" s="2"/>
      <c r="W131" s="2"/>
      <c r="X131" s="2"/>
      <c r="Y131" s="2"/>
      <c r="Z131" s="2"/>
    </row>
    <row r="132" ht="15.75" customHeight="1">
      <c r="A132" s="1"/>
      <c r="B132" s="1"/>
      <c r="C132" s="1"/>
      <c r="D132" s="1"/>
      <c r="E132" s="1"/>
      <c r="F132" s="1"/>
      <c r="G132" s="1"/>
      <c r="H132" s="1"/>
      <c r="I132" s="1"/>
      <c r="J132" s="1"/>
      <c r="K132" s="1"/>
      <c r="L132" s="1"/>
      <c r="M132" s="1"/>
      <c r="N132" s="1"/>
      <c r="O132" s="1"/>
      <c r="P132" s="1"/>
      <c r="Q132" s="1"/>
      <c r="R132" s="2"/>
      <c r="S132" s="2"/>
      <c r="T132" s="2"/>
      <c r="U132" s="2"/>
      <c r="V132" s="2"/>
      <c r="W132" s="2"/>
      <c r="X132" s="2"/>
      <c r="Y132" s="2"/>
      <c r="Z132" s="2"/>
    </row>
    <row r="133" ht="15.75" customHeight="1">
      <c r="A133" s="1"/>
      <c r="B133" s="1"/>
      <c r="C133" s="1"/>
      <c r="D133" s="1"/>
      <c r="E133" s="1"/>
      <c r="F133" s="1"/>
      <c r="G133" s="1"/>
      <c r="H133" s="1"/>
      <c r="I133" s="1"/>
      <c r="J133" s="1"/>
      <c r="K133" s="1"/>
      <c r="L133" s="1"/>
      <c r="M133" s="1"/>
      <c r="N133" s="1"/>
      <c r="O133" s="1"/>
      <c r="P133" s="1"/>
      <c r="Q133" s="1"/>
      <c r="R133" s="2"/>
      <c r="S133" s="2"/>
      <c r="T133" s="2"/>
      <c r="U133" s="2"/>
      <c r="V133" s="2"/>
      <c r="W133" s="2"/>
      <c r="X133" s="2"/>
      <c r="Y133" s="2"/>
      <c r="Z133" s="2"/>
    </row>
    <row r="134" ht="15.75" customHeight="1">
      <c r="A134" s="1"/>
      <c r="B134" s="1"/>
      <c r="C134" s="1"/>
      <c r="D134" s="1"/>
      <c r="E134" s="1"/>
      <c r="F134" s="1"/>
      <c r="G134" s="1"/>
      <c r="H134" s="1"/>
      <c r="I134" s="1"/>
      <c r="J134" s="1"/>
      <c r="K134" s="1"/>
      <c r="L134" s="1"/>
      <c r="M134" s="1"/>
      <c r="N134" s="1"/>
      <c r="O134" s="1"/>
      <c r="P134" s="1"/>
      <c r="Q134" s="1"/>
      <c r="R134" s="2"/>
      <c r="S134" s="2"/>
      <c r="T134" s="2"/>
      <c r="U134" s="2"/>
      <c r="V134" s="2"/>
      <c r="W134" s="2"/>
      <c r="X134" s="2"/>
      <c r="Y134" s="2"/>
      <c r="Z134" s="2"/>
    </row>
    <row r="135" ht="15.75" customHeight="1">
      <c r="A135" s="1"/>
      <c r="B135" s="1"/>
      <c r="C135" s="1"/>
      <c r="D135" s="1"/>
      <c r="E135" s="1"/>
      <c r="F135" s="1"/>
      <c r="G135" s="1"/>
      <c r="H135" s="1"/>
      <c r="I135" s="1"/>
      <c r="J135" s="1"/>
      <c r="K135" s="1"/>
      <c r="L135" s="1"/>
      <c r="M135" s="1"/>
      <c r="N135" s="1"/>
      <c r="O135" s="1"/>
      <c r="P135" s="1"/>
      <c r="Q135" s="1"/>
      <c r="R135" s="2"/>
      <c r="S135" s="2"/>
      <c r="T135" s="2"/>
      <c r="U135" s="2"/>
      <c r="V135" s="2"/>
      <c r="W135" s="2"/>
      <c r="X135" s="2"/>
      <c r="Y135" s="2"/>
      <c r="Z135" s="2"/>
    </row>
    <row r="136" ht="15.75" customHeight="1">
      <c r="A136" s="1"/>
      <c r="B136" s="1"/>
      <c r="C136" s="1"/>
      <c r="D136" s="1"/>
      <c r="E136" s="1"/>
      <c r="F136" s="1"/>
      <c r="G136" s="1"/>
      <c r="H136" s="1"/>
      <c r="I136" s="1"/>
      <c r="J136" s="1"/>
      <c r="K136" s="1"/>
      <c r="L136" s="1"/>
      <c r="M136" s="1"/>
      <c r="N136" s="1"/>
      <c r="O136" s="1"/>
      <c r="P136" s="1"/>
      <c r="Q136" s="1"/>
      <c r="R136" s="2"/>
      <c r="S136" s="2"/>
      <c r="T136" s="2"/>
      <c r="U136" s="2"/>
      <c r="V136" s="2"/>
      <c r="W136" s="2"/>
      <c r="X136" s="2"/>
      <c r="Y136" s="2"/>
      <c r="Z136" s="2"/>
    </row>
    <row r="137" ht="15.75" customHeight="1">
      <c r="A137" s="1"/>
      <c r="B137" s="1"/>
      <c r="C137" s="1"/>
      <c r="D137" s="1"/>
      <c r="E137" s="1"/>
      <c r="F137" s="1"/>
      <c r="G137" s="1"/>
      <c r="H137" s="1"/>
      <c r="I137" s="1"/>
      <c r="J137" s="1"/>
      <c r="K137" s="1"/>
      <c r="L137" s="1"/>
      <c r="M137" s="1"/>
      <c r="N137" s="1"/>
      <c r="O137" s="1"/>
      <c r="P137" s="1"/>
      <c r="Q137" s="1"/>
      <c r="R137" s="2"/>
      <c r="S137" s="2"/>
      <c r="T137" s="2"/>
      <c r="U137" s="2"/>
      <c r="V137" s="2"/>
      <c r="W137" s="2"/>
      <c r="X137" s="2"/>
      <c r="Y137" s="2"/>
      <c r="Z137" s="2"/>
    </row>
    <row r="138" ht="15.75" customHeight="1">
      <c r="A138" s="1"/>
      <c r="B138" s="1"/>
      <c r="C138" s="1"/>
      <c r="D138" s="1"/>
      <c r="E138" s="1"/>
      <c r="F138" s="1"/>
      <c r="G138" s="1"/>
      <c r="H138" s="1"/>
      <c r="I138" s="1"/>
      <c r="J138" s="1"/>
      <c r="K138" s="1"/>
      <c r="L138" s="1"/>
      <c r="M138" s="1"/>
      <c r="N138" s="1"/>
      <c r="O138" s="1"/>
      <c r="P138" s="1"/>
      <c r="Q138" s="1"/>
      <c r="R138" s="2"/>
      <c r="S138" s="2"/>
      <c r="T138" s="2"/>
      <c r="U138" s="2"/>
      <c r="V138" s="2"/>
      <c r="W138" s="2"/>
      <c r="X138" s="2"/>
      <c r="Y138" s="2"/>
      <c r="Z138" s="2"/>
    </row>
    <row r="139" ht="15.75" customHeight="1">
      <c r="A139" s="1"/>
      <c r="B139" s="1"/>
      <c r="C139" s="1"/>
      <c r="D139" s="1"/>
      <c r="E139" s="1"/>
      <c r="F139" s="1"/>
      <c r="G139" s="1"/>
      <c r="H139" s="1"/>
      <c r="I139" s="1"/>
      <c r="J139" s="1"/>
      <c r="K139" s="1"/>
      <c r="L139" s="1"/>
      <c r="M139" s="1"/>
      <c r="N139" s="1"/>
      <c r="O139" s="1"/>
      <c r="P139" s="1"/>
      <c r="Q139" s="1"/>
      <c r="R139" s="2"/>
      <c r="S139" s="2"/>
      <c r="T139" s="2"/>
      <c r="U139" s="2"/>
      <c r="V139" s="2"/>
      <c r="W139" s="2"/>
      <c r="X139" s="2"/>
      <c r="Y139" s="2"/>
      <c r="Z139" s="2"/>
    </row>
    <row r="140" ht="15.75" customHeight="1">
      <c r="A140" s="1"/>
      <c r="B140" s="1"/>
      <c r="C140" s="1"/>
      <c r="D140" s="1"/>
      <c r="E140" s="1"/>
      <c r="F140" s="1"/>
      <c r="G140" s="1"/>
      <c r="H140" s="1"/>
      <c r="I140" s="1"/>
      <c r="J140" s="1"/>
      <c r="K140" s="1"/>
      <c r="L140" s="1"/>
      <c r="M140" s="1"/>
      <c r="N140" s="1"/>
      <c r="O140" s="1"/>
      <c r="P140" s="1"/>
      <c r="Q140" s="1"/>
      <c r="R140" s="2"/>
      <c r="S140" s="2"/>
      <c r="T140" s="2"/>
      <c r="U140" s="2"/>
      <c r="V140" s="2"/>
      <c r="W140" s="2"/>
      <c r="X140" s="2"/>
      <c r="Y140" s="2"/>
      <c r="Z140" s="2"/>
    </row>
    <row r="141" ht="15.75" customHeight="1">
      <c r="A141" s="1"/>
      <c r="B141" s="1"/>
      <c r="C141" s="1"/>
      <c r="D141" s="1"/>
      <c r="E141" s="1"/>
      <c r="F141" s="1"/>
      <c r="G141" s="1"/>
      <c r="H141" s="1"/>
      <c r="I141" s="1"/>
      <c r="J141" s="1"/>
      <c r="K141" s="1"/>
      <c r="L141" s="1"/>
      <c r="M141" s="1"/>
      <c r="N141" s="1"/>
      <c r="O141" s="1"/>
      <c r="P141" s="1"/>
      <c r="Q141" s="1"/>
      <c r="R141" s="2"/>
      <c r="S141" s="2"/>
      <c r="T141" s="2"/>
      <c r="U141" s="2"/>
      <c r="V141" s="2"/>
      <c r="W141" s="2"/>
      <c r="X141" s="2"/>
      <c r="Y141" s="2"/>
      <c r="Z141" s="2"/>
    </row>
    <row r="142" ht="15.75" customHeight="1">
      <c r="A142" s="1"/>
      <c r="B142" s="1"/>
      <c r="C142" s="1"/>
      <c r="D142" s="1"/>
      <c r="E142" s="1"/>
      <c r="F142" s="1"/>
      <c r="G142" s="1"/>
      <c r="H142" s="1"/>
      <c r="I142" s="1"/>
      <c r="J142" s="1"/>
      <c r="K142" s="1"/>
      <c r="L142" s="1"/>
      <c r="M142" s="1"/>
      <c r="N142" s="1"/>
      <c r="O142" s="1"/>
      <c r="P142" s="1"/>
      <c r="Q142" s="1"/>
      <c r="R142" s="2"/>
      <c r="S142" s="2"/>
      <c r="T142" s="2"/>
      <c r="U142" s="2"/>
      <c r="V142" s="2"/>
      <c r="W142" s="2"/>
      <c r="X142" s="2"/>
      <c r="Y142" s="2"/>
      <c r="Z142" s="2"/>
    </row>
    <row r="143" ht="15.75" customHeight="1">
      <c r="A143" s="1"/>
      <c r="B143" s="1"/>
      <c r="C143" s="1"/>
      <c r="D143" s="1"/>
      <c r="E143" s="1"/>
      <c r="F143" s="1"/>
      <c r="G143" s="1"/>
      <c r="H143" s="1"/>
      <c r="I143" s="1"/>
      <c r="J143" s="1"/>
      <c r="K143" s="1"/>
      <c r="L143" s="1"/>
      <c r="M143" s="1"/>
      <c r="N143" s="1"/>
      <c r="O143" s="1"/>
      <c r="P143" s="1"/>
      <c r="Q143" s="1"/>
      <c r="R143" s="2"/>
      <c r="S143" s="2"/>
      <c r="T143" s="2"/>
      <c r="U143" s="2"/>
      <c r="V143" s="2"/>
      <c r="W143" s="2"/>
      <c r="X143" s="2"/>
      <c r="Y143" s="2"/>
      <c r="Z143" s="2"/>
    </row>
    <row r="144" ht="15.75" customHeight="1">
      <c r="A144" s="1"/>
      <c r="B144" s="1"/>
      <c r="C144" s="1"/>
      <c r="D144" s="1"/>
      <c r="E144" s="1"/>
      <c r="F144" s="1"/>
      <c r="G144" s="1"/>
      <c r="H144" s="1"/>
      <c r="I144" s="1"/>
      <c r="J144" s="1"/>
      <c r="K144" s="1"/>
      <c r="L144" s="1"/>
      <c r="M144" s="1"/>
      <c r="N144" s="1"/>
      <c r="O144" s="1"/>
      <c r="P144" s="1"/>
      <c r="Q144" s="1"/>
      <c r="R144" s="2"/>
      <c r="S144" s="2"/>
      <c r="T144" s="2"/>
      <c r="U144" s="2"/>
      <c r="V144" s="2"/>
      <c r="W144" s="2"/>
      <c r="X144" s="2"/>
      <c r="Y144" s="2"/>
      <c r="Z144" s="2"/>
    </row>
    <row r="145" ht="15.75" customHeight="1">
      <c r="A145" s="1"/>
      <c r="B145" s="1"/>
      <c r="C145" s="1"/>
      <c r="D145" s="1"/>
      <c r="E145" s="1"/>
      <c r="F145" s="1"/>
      <c r="G145" s="1"/>
      <c r="H145" s="1"/>
      <c r="I145" s="1"/>
      <c r="J145" s="1"/>
      <c r="K145" s="1"/>
      <c r="L145" s="1"/>
      <c r="M145" s="1"/>
      <c r="N145" s="1"/>
      <c r="O145" s="1"/>
      <c r="P145" s="1"/>
      <c r="Q145" s="1"/>
      <c r="R145" s="2"/>
      <c r="S145" s="2"/>
      <c r="T145" s="2"/>
      <c r="U145" s="2"/>
      <c r="V145" s="2"/>
      <c r="W145" s="2"/>
      <c r="X145" s="2"/>
      <c r="Y145" s="2"/>
      <c r="Z145" s="2"/>
    </row>
    <row r="146" ht="15.75" customHeight="1">
      <c r="A146" s="1"/>
      <c r="B146" s="1"/>
      <c r="C146" s="1"/>
      <c r="D146" s="1"/>
      <c r="E146" s="1"/>
      <c r="F146" s="1"/>
      <c r="G146" s="1"/>
      <c r="H146" s="1"/>
      <c r="I146" s="1"/>
      <c r="J146" s="1"/>
      <c r="K146" s="1"/>
      <c r="L146" s="1"/>
      <c r="M146" s="1"/>
      <c r="N146" s="1"/>
      <c r="O146" s="1"/>
      <c r="P146" s="1"/>
      <c r="Q146" s="1"/>
      <c r="R146" s="2"/>
      <c r="S146" s="2"/>
      <c r="T146" s="2"/>
      <c r="U146" s="2"/>
      <c r="V146" s="2"/>
      <c r="W146" s="2"/>
      <c r="X146" s="2"/>
      <c r="Y146" s="2"/>
      <c r="Z146" s="2"/>
    </row>
    <row r="147" ht="15.75" customHeight="1">
      <c r="A147" s="1"/>
      <c r="B147" s="1"/>
      <c r="C147" s="1"/>
      <c r="D147" s="1"/>
      <c r="E147" s="1"/>
      <c r="F147" s="1"/>
      <c r="G147" s="1"/>
      <c r="H147" s="1"/>
      <c r="I147" s="1"/>
      <c r="J147" s="1"/>
      <c r="K147" s="1"/>
      <c r="L147" s="1"/>
      <c r="M147" s="1"/>
      <c r="N147" s="1"/>
      <c r="O147" s="1"/>
      <c r="P147" s="1"/>
      <c r="Q147" s="1"/>
      <c r="R147" s="2"/>
      <c r="S147" s="2"/>
      <c r="T147" s="2"/>
      <c r="U147" s="2"/>
      <c r="V147" s="2"/>
      <c r="W147" s="2"/>
      <c r="X147" s="2"/>
      <c r="Y147" s="2"/>
      <c r="Z147" s="2"/>
    </row>
    <row r="148" ht="15.75" customHeight="1">
      <c r="A148" s="1"/>
      <c r="B148" s="1"/>
      <c r="C148" s="1"/>
      <c r="D148" s="1"/>
      <c r="E148" s="1"/>
      <c r="F148" s="1"/>
      <c r="G148" s="1"/>
      <c r="H148" s="1"/>
      <c r="I148" s="1"/>
      <c r="J148" s="1"/>
      <c r="K148" s="1"/>
      <c r="L148" s="1"/>
      <c r="M148" s="1"/>
      <c r="N148" s="1"/>
      <c r="O148" s="1"/>
      <c r="P148" s="1"/>
      <c r="Q148" s="1"/>
      <c r="R148" s="2"/>
      <c r="S148" s="2"/>
      <c r="T148" s="2"/>
      <c r="U148" s="2"/>
      <c r="V148" s="2"/>
      <c r="W148" s="2"/>
      <c r="X148" s="2"/>
      <c r="Y148" s="2"/>
      <c r="Z148" s="2"/>
    </row>
    <row r="149" ht="15.75" customHeight="1">
      <c r="A149" s="1"/>
      <c r="B149" s="1"/>
      <c r="C149" s="1"/>
      <c r="D149" s="1"/>
      <c r="E149" s="1"/>
      <c r="F149" s="1"/>
      <c r="G149" s="1"/>
      <c r="H149" s="1"/>
      <c r="I149" s="1"/>
      <c r="J149" s="1"/>
      <c r="K149" s="1"/>
      <c r="L149" s="1"/>
      <c r="M149" s="1"/>
      <c r="N149" s="1"/>
      <c r="O149" s="1"/>
      <c r="P149" s="1"/>
      <c r="Q149" s="1"/>
      <c r="R149" s="2"/>
      <c r="S149" s="2"/>
      <c r="T149" s="2"/>
      <c r="U149" s="2"/>
      <c r="V149" s="2"/>
      <c r="W149" s="2"/>
      <c r="X149" s="2"/>
      <c r="Y149" s="2"/>
      <c r="Z149" s="2"/>
    </row>
    <row r="150" ht="15.75" customHeight="1">
      <c r="A150" s="1"/>
      <c r="B150" s="1"/>
      <c r="C150" s="1"/>
      <c r="D150" s="1"/>
      <c r="E150" s="1"/>
      <c r="F150" s="1"/>
      <c r="G150" s="1"/>
      <c r="H150" s="1"/>
      <c r="I150" s="1"/>
      <c r="J150" s="1"/>
      <c r="K150" s="1"/>
      <c r="L150" s="1"/>
      <c r="M150" s="1"/>
      <c r="N150" s="1"/>
      <c r="O150" s="1"/>
      <c r="P150" s="1"/>
      <c r="Q150" s="1"/>
      <c r="R150" s="2"/>
      <c r="S150" s="2"/>
      <c r="T150" s="2"/>
      <c r="U150" s="2"/>
      <c r="V150" s="2"/>
      <c r="W150" s="2"/>
      <c r="X150" s="2"/>
      <c r="Y150" s="2"/>
      <c r="Z150" s="2"/>
    </row>
    <row r="151" ht="15.75" customHeight="1">
      <c r="A151" s="1"/>
      <c r="B151" s="1"/>
      <c r="C151" s="1"/>
      <c r="D151" s="1"/>
      <c r="E151" s="1"/>
      <c r="F151" s="1"/>
      <c r="G151" s="1"/>
      <c r="H151" s="1"/>
      <c r="I151" s="1"/>
      <c r="J151" s="1"/>
      <c r="K151" s="1"/>
      <c r="L151" s="1"/>
      <c r="M151" s="1"/>
      <c r="N151" s="1"/>
      <c r="O151" s="1"/>
      <c r="P151" s="1"/>
      <c r="Q151" s="1"/>
      <c r="R151" s="2"/>
      <c r="S151" s="2"/>
      <c r="T151" s="2"/>
      <c r="U151" s="2"/>
      <c r="V151" s="2"/>
      <c r="W151" s="2"/>
      <c r="X151" s="2"/>
      <c r="Y151" s="2"/>
      <c r="Z151" s="2"/>
    </row>
    <row r="152" ht="15.75" customHeight="1">
      <c r="A152" s="1"/>
      <c r="B152" s="1"/>
      <c r="C152" s="1"/>
      <c r="D152" s="1"/>
      <c r="E152" s="1"/>
      <c r="F152" s="1"/>
      <c r="G152" s="1"/>
      <c r="H152" s="1"/>
      <c r="I152" s="1"/>
      <c r="J152" s="1"/>
      <c r="K152" s="1"/>
      <c r="L152" s="1"/>
      <c r="M152" s="1"/>
      <c r="N152" s="1"/>
      <c r="O152" s="1"/>
      <c r="P152" s="1"/>
      <c r="Q152" s="1"/>
      <c r="R152" s="2"/>
      <c r="S152" s="2"/>
      <c r="T152" s="2"/>
      <c r="U152" s="2"/>
      <c r="V152" s="2"/>
      <c r="W152" s="2"/>
      <c r="X152" s="2"/>
      <c r="Y152" s="2"/>
      <c r="Z152" s="2"/>
    </row>
    <row r="153" ht="15.75" customHeight="1">
      <c r="A153" s="1"/>
      <c r="B153" s="1"/>
      <c r="C153" s="1"/>
      <c r="D153" s="1"/>
      <c r="E153" s="1"/>
      <c r="F153" s="1"/>
      <c r="G153" s="1"/>
      <c r="H153" s="1"/>
      <c r="I153" s="1"/>
      <c r="J153" s="1"/>
      <c r="K153" s="1"/>
      <c r="L153" s="1"/>
      <c r="M153" s="1"/>
      <c r="N153" s="1"/>
      <c r="O153" s="1"/>
      <c r="P153" s="1"/>
      <c r="Q153" s="1"/>
      <c r="R153" s="2"/>
      <c r="S153" s="2"/>
      <c r="T153" s="2"/>
      <c r="U153" s="2"/>
      <c r="V153" s="2"/>
      <c r="W153" s="2"/>
      <c r="X153" s="2"/>
      <c r="Y153" s="2"/>
      <c r="Z153" s="2"/>
    </row>
    <row r="154" ht="15.75" customHeight="1">
      <c r="A154" s="1"/>
      <c r="B154" s="1"/>
      <c r="C154" s="1"/>
      <c r="D154" s="1"/>
      <c r="E154" s="1"/>
      <c r="F154" s="1"/>
      <c r="G154" s="1"/>
      <c r="H154" s="1"/>
      <c r="I154" s="1"/>
      <c r="J154" s="1"/>
      <c r="K154" s="1"/>
      <c r="L154" s="1"/>
      <c r="M154" s="1"/>
      <c r="N154" s="1"/>
      <c r="O154" s="1"/>
      <c r="P154" s="1"/>
      <c r="Q154" s="1"/>
      <c r="R154" s="2"/>
      <c r="S154" s="2"/>
      <c r="T154" s="2"/>
      <c r="U154" s="2"/>
      <c r="V154" s="2"/>
      <c r="W154" s="2"/>
      <c r="X154" s="2"/>
      <c r="Y154" s="2"/>
      <c r="Z154" s="2"/>
    </row>
    <row r="155" ht="15.75" customHeight="1">
      <c r="A155" s="1"/>
      <c r="B155" s="1"/>
      <c r="C155" s="1"/>
      <c r="D155" s="1"/>
      <c r="E155" s="1"/>
      <c r="F155" s="1"/>
      <c r="G155" s="1"/>
      <c r="H155" s="1"/>
      <c r="I155" s="1"/>
      <c r="J155" s="1"/>
      <c r="K155" s="1"/>
      <c r="L155" s="1"/>
      <c r="M155" s="1"/>
      <c r="N155" s="1"/>
      <c r="O155" s="1"/>
      <c r="P155" s="1"/>
      <c r="Q155" s="1"/>
      <c r="R155" s="2"/>
      <c r="S155" s="2"/>
      <c r="T155" s="2"/>
      <c r="U155" s="2"/>
      <c r="V155" s="2"/>
      <c r="W155" s="2"/>
      <c r="X155" s="2"/>
      <c r="Y155" s="2"/>
      <c r="Z155" s="2"/>
    </row>
    <row r="156" ht="15.75" customHeight="1">
      <c r="A156" s="1"/>
      <c r="B156" s="1"/>
      <c r="C156" s="1"/>
      <c r="D156" s="1"/>
      <c r="E156" s="1"/>
      <c r="F156" s="1"/>
      <c r="G156" s="1"/>
      <c r="H156" s="1"/>
      <c r="I156" s="1"/>
      <c r="J156" s="1"/>
      <c r="K156" s="1"/>
      <c r="L156" s="1"/>
      <c r="M156" s="1"/>
      <c r="N156" s="1"/>
      <c r="O156" s="1"/>
      <c r="P156" s="1"/>
      <c r="Q156" s="1"/>
      <c r="R156" s="2"/>
      <c r="S156" s="2"/>
      <c r="T156" s="2"/>
      <c r="U156" s="2"/>
      <c r="V156" s="2"/>
      <c r="W156" s="2"/>
      <c r="X156" s="2"/>
      <c r="Y156" s="2"/>
      <c r="Z156" s="2"/>
    </row>
    <row r="157" ht="15.75" customHeight="1">
      <c r="A157" s="1"/>
      <c r="B157" s="1"/>
      <c r="C157" s="1"/>
      <c r="D157" s="1"/>
      <c r="E157" s="1"/>
      <c r="F157" s="1"/>
      <c r="G157" s="1"/>
      <c r="H157" s="1"/>
      <c r="I157" s="1"/>
      <c r="J157" s="1"/>
      <c r="K157" s="1"/>
      <c r="L157" s="1"/>
      <c r="M157" s="1"/>
      <c r="N157" s="1"/>
      <c r="O157" s="1"/>
      <c r="P157" s="1"/>
      <c r="Q157" s="1"/>
      <c r="R157" s="2"/>
      <c r="S157" s="2"/>
      <c r="T157" s="2"/>
      <c r="U157" s="2"/>
      <c r="V157" s="2"/>
      <c r="W157" s="2"/>
      <c r="X157" s="2"/>
      <c r="Y157" s="2"/>
      <c r="Z157" s="2"/>
    </row>
    <row r="158" ht="15.75" customHeight="1">
      <c r="A158" s="1"/>
      <c r="B158" s="1"/>
      <c r="C158" s="1"/>
      <c r="D158" s="1"/>
      <c r="E158" s="1"/>
      <c r="F158" s="1"/>
      <c r="G158" s="1"/>
      <c r="H158" s="1"/>
      <c r="I158" s="1"/>
      <c r="J158" s="1"/>
      <c r="K158" s="1"/>
      <c r="L158" s="1"/>
      <c r="M158" s="1"/>
      <c r="N158" s="1"/>
      <c r="O158" s="1"/>
      <c r="P158" s="1"/>
      <c r="Q158" s="1"/>
      <c r="R158" s="2"/>
      <c r="S158" s="2"/>
      <c r="T158" s="2"/>
      <c r="U158" s="2"/>
      <c r="V158" s="2"/>
      <c r="W158" s="2"/>
      <c r="X158" s="2"/>
      <c r="Y158" s="2"/>
      <c r="Z158" s="2"/>
    </row>
    <row r="159" ht="15.75" customHeight="1">
      <c r="A159" s="1"/>
      <c r="B159" s="1"/>
      <c r="C159" s="1"/>
      <c r="D159" s="1"/>
      <c r="E159" s="1"/>
      <c r="F159" s="1"/>
      <c r="G159" s="1"/>
      <c r="H159" s="1"/>
      <c r="I159" s="1"/>
      <c r="J159" s="1"/>
      <c r="K159" s="1"/>
      <c r="L159" s="1"/>
      <c r="M159" s="1"/>
      <c r="N159" s="1"/>
      <c r="O159" s="1"/>
      <c r="P159" s="1"/>
      <c r="Q159" s="1"/>
      <c r="R159" s="2"/>
      <c r="S159" s="2"/>
      <c r="T159" s="2"/>
      <c r="U159" s="2"/>
      <c r="V159" s="2"/>
      <c r="W159" s="2"/>
      <c r="X159" s="2"/>
      <c r="Y159" s="2"/>
      <c r="Z159" s="2"/>
    </row>
    <row r="160" ht="15.75" customHeight="1">
      <c r="A160" s="1"/>
      <c r="B160" s="1"/>
      <c r="C160" s="1"/>
      <c r="D160" s="1"/>
      <c r="E160" s="1"/>
      <c r="F160" s="1"/>
      <c r="G160" s="1"/>
      <c r="H160" s="1"/>
      <c r="I160" s="1"/>
      <c r="J160" s="1"/>
      <c r="K160" s="1"/>
      <c r="L160" s="1"/>
      <c r="M160" s="1"/>
      <c r="N160" s="1"/>
      <c r="O160" s="1"/>
      <c r="P160" s="1"/>
      <c r="Q160" s="1"/>
      <c r="R160" s="2"/>
      <c r="S160" s="2"/>
      <c r="T160" s="2"/>
      <c r="U160" s="2"/>
      <c r="V160" s="2"/>
      <c r="W160" s="2"/>
      <c r="X160" s="2"/>
      <c r="Y160" s="2"/>
      <c r="Z160" s="2"/>
    </row>
    <row r="161" ht="15.75" customHeight="1">
      <c r="A161" s="1"/>
      <c r="B161" s="1"/>
      <c r="C161" s="1"/>
      <c r="D161" s="1"/>
      <c r="E161" s="1"/>
      <c r="F161" s="1"/>
      <c r="G161" s="1"/>
      <c r="H161" s="1"/>
      <c r="I161" s="1"/>
      <c r="J161" s="1"/>
      <c r="K161" s="1"/>
      <c r="L161" s="1"/>
      <c r="M161" s="1"/>
      <c r="N161" s="1"/>
      <c r="O161" s="1"/>
      <c r="P161" s="1"/>
      <c r="Q161" s="1"/>
      <c r="R161" s="2"/>
      <c r="S161" s="2"/>
      <c r="T161" s="2"/>
      <c r="U161" s="2"/>
      <c r="V161" s="2"/>
      <c r="W161" s="2"/>
      <c r="X161" s="2"/>
      <c r="Y161" s="2"/>
      <c r="Z161" s="2"/>
    </row>
    <row r="162" ht="15.75" customHeight="1">
      <c r="A162" s="1"/>
      <c r="B162" s="1"/>
      <c r="C162" s="1"/>
      <c r="D162" s="1"/>
      <c r="E162" s="1"/>
      <c r="F162" s="1"/>
      <c r="G162" s="1"/>
      <c r="H162" s="1"/>
      <c r="I162" s="1"/>
      <c r="J162" s="1"/>
      <c r="K162" s="1"/>
      <c r="L162" s="1"/>
      <c r="M162" s="1"/>
      <c r="N162" s="1"/>
      <c r="O162" s="1"/>
      <c r="P162" s="1"/>
      <c r="Q162" s="1"/>
      <c r="R162" s="2"/>
      <c r="S162" s="2"/>
      <c r="T162" s="2"/>
      <c r="U162" s="2"/>
      <c r="V162" s="2"/>
      <c r="W162" s="2"/>
      <c r="X162" s="2"/>
      <c r="Y162" s="2"/>
      <c r="Z162" s="2"/>
    </row>
    <row r="163" ht="15.75" customHeight="1">
      <c r="A163" s="1"/>
      <c r="B163" s="1"/>
      <c r="C163" s="1"/>
      <c r="D163" s="1"/>
      <c r="E163" s="1"/>
      <c r="F163" s="1"/>
      <c r="G163" s="1"/>
      <c r="H163" s="1"/>
      <c r="I163" s="1"/>
      <c r="J163" s="1"/>
      <c r="K163" s="1"/>
      <c r="L163" s="1"/>
      <c r="M163" s="1"/>
      <c r="N163" s="1"/>
      <c r="O163" s="1"/>
      <c r="P163" s="1"/>
      <c r="Q163" s="1"/>
      <c r="R163" s="2"/>
      <c r="S163" s="2"/>
      <c r="T163" s="2"/>
      <c r="U163" s="2"/>
      <c r="V163" s="2"/>
      <c r="W163" s="2"/>
      <c r="X163" s="2"/>
      <c r="Y163" s="2"/>
      <c r="Z163" s="2"/>
    </row>
    <row r="164" ht="15.75" customHeight="1">
      <c r="A164" s="1"/>
      <c r="B164" s="1"/>
      <c r="C164" s="1"/>
      <c r="D164" s="1"/>
      <c r="E164" s="1"/>
      <c r="F164" s="1"/>
      <c r="G164" s="1"/>
      <c r="H164" s="1"/>
      <c r="I164" s="1"/>
      <c r="J164" s="1"/>
      <c r="K164" s="1"/>
      <c r="L164" s="1"/>
      <c r="M164" s="1"/>
      <c r="N164" s="1"/>
      <c r="O164" s="1"/>
      <c r="P164" s="1"/>
      <c r="Q164" s="1"/>
      <c r="R164" s="2"/>
      <c r="S164" s="2"/>
      <c r="T164" s="2"/>
      <c r="U164" s="2"/>
      <c r="V164" s="2"/>
      <c r="W164" s="2"/>
      <c r="X164" s="2"/>
      <c r="Y164" s="2"/>
      <c r="Z164" s="2"/>
    </row>
    <row r="165" ht="15.75" customHeight="1">
      <c r="A165" s="1"/>
      <c r="B165" s="1"/>
      <c r="C165" s="1"/>
      <c r="D165" s="1"/>
      <c r="E165" s="1"/>
      <c r="F165" s="1"/>
      <c r="G165" s="1"/>
      <c r="H165" s="1"/>
      <c r="I165" s="1"/>
      <c r="J165" s="1"/>
      <c r="K165" s="1"/>
      <c r="L165" s="1"/>
      <c r="M165" s="1"/>
      <c r="N165" s="1"/>
      <c r="O165" s="1"/>
      <c r="P165" s="1"/>
      <c r="Q165" s="1"/>
      <c r="R165" s="2"/>
      <c r="S165" s="2"/>
      <c r="T165" s="2"/>
      <c r="U165" s="2"/>
      <c r="V165" s="2"/>
      <c r="W165" s="2"/>
      <c r="X165" s="2"/>
      <c r="Y165" s="2"/>
      <c r="Z165" s="2"/>
    </row>
    <row r="166" ht="15.75" customHeight="1">
      <c r="A166" s="1"/>
      <c r="B166" s="1"/>
      <c r="C166" s="1"/>
      <c r="D166" s="1"/>
      <c r="E166" s="1"/>
      <c r="F166" s="1"/>
      <c r="G166" s="1"/>
      <c r="H166" s="1"/>
      <c r="I166" s="1"/>
      <c r="J166" s="1"/>
      <c r="K166" s="1"/>
      <c r="L166" s="1"/>
      <c r="M166" s="1"/>
      <c r="N166" s="1"/>
      <c r="O166" s="1"/>
      <c r="P166" s="1"/>
      <c r="Q166" s="1"/>
      <c r="R166" s="2"/>
      <c r="S166" s="2"/>
      <c r="T166" s="2"/>
      <c r="U166" s="2"/>
      <c r="V166" s="2"/>
      <c r="W166" s="2"/>
      <c r="X166" s="2"/>
      <c r="Y166" s="2"/>
      <c r="Z166" s="2"/>
    </row>
    <row r="167" ht="15.75" customHeight="1">
      <c r="A167" s="1"/>
      <c r="B167" s="1"/>
      <c r="C167" s="1"/>
      <c r="D167" s="1"/>
      <c r="E167" s="1"/>
      <c r="F167" s="1"/>
      <c r="G167" s="1"/>
      <c r="H167" s="1"/>
      <c r="I167" s="1"/>
      <c r="J167" s="1"/>
      <c r="K167" s="1"/>
      <c r="L167" s="1"/>
      <c r="M167" s="1"/>
      <c r="N167" s="1"/>
      <c r="O167" s="1"/>
      <c r="P167" s="1"/>
      <c r="Q167" s="1"/>
      <c r="R167" s="2"/>
      <c r="S167" s="2"/>
      <c r="T167" s="2"/>
      <c r="U167" s="2"/>
      <c r="V167" s="2"/>
      <c r="W167" s="2"/>
      <c r="X167" s="2"/>
      <c r="Y167" s="2"/>
      <c r="Z167" s="2"/>
    </row>
    <row r="168" ht="15.75" customHeight="1">
      <c r="A168" s="1"/>
      <c r="B168" s="1"/>
      <c r="C168" s="1"/>
      <c r="D168" s="1"/>
      <c r="E168" s="1"/>
      <c r="F168" s="1"/>
      <c r="G168" s="1"/>
      <c r="H168" s="1"/>
      <c r="I168" s="1"/>
      <c r="J168" s="1"/>
      <c r="K168" s="1"/>
      <c r="L168" s="1"/>
      <c r="M168" s="1"/>
      <c r="N168" s="1"/>
      <c r="O168" s="1"/>
      <c r="P168" s="1"/>
      <c r="Q168" s="1"/>
      <c r="R168" s="2"/>
      <c r="S168" s="2"/>
      <c r="T168" s="2"/>
      <c r="U168" s="2"/>
      <c r="V168" s="2"/>
      <c r="W168" s="2"/>
      <c r="X168" s="2"/>
      <c r="Y168" s="2"/>
      <c r="Z168" s="2"/>
    </row>
    <row r="169" ht="15.75" customHeight="1">
      <c r="A169" s="1"/>
      <c r="B169" s="1"/>
      <c r="C169" s="1"/>
      <c r="D169" s="1"/>
      <c r="E169" s="1"/>
      <c r="F169" s="1"/>
      <c r="G169" s="1"/>
      <c r="H169" s="1"/>
      <c r="I169" s="1"/>
      <c r="J169" s="1"/>
      <c r="K169" s="1"/>
      <c r="L169" s="1"/>
      <c r="M169" s="1"/>
      <c r="N169" s="1"/>
      <c r="O169" s="1"/>
      <c r="P169" s="1"/>
      <c r="Q169" s="1"/>
      <c r="R169" s="2"/>
      <c r="S169" s="2"/>
      <c r="T169" s="2"/>
      <c r="U169" s="2"/>
      <c r="V169" s="2"/>
      <c r="W169" s="2"/>
      <c r="X169" s="2"/>
      <c r="Y169" s="2"/>
      <c r="Z169" s="2"/>
    </row>
    <row r="170" ht="15.75" customHeight="1">
      <c r="A170" s="1"/>
      <c r="B170" s="1"/>
      <c r="C170" s="1"/>
      <c r="D170" s="1"/>
      <c r="E170" s="1"/>
      <c r="F170" s="1"/>
      <c r="G170" s="1"/>
      <c r="H170" s="1"/>
      <c r="I170" s="1"/>
      <c r="J170" s="1"/>
      <c r="K170" s="1"/>
      <c r="L170" s="1"/>
      <c r="M170" s="1"/>
      <c r="N170" s="1"/>
      <c r="O170" s="1"/>
      <c r="P170" s="1"/>
      <c r="Q170" s="1"/>
      <c r="R170" s="2"/>
      <c r="S170" s="2"/>
      <c r="T170" s="2"/>
      <c r="U170" s="2"/>
      <c r="V170" s="2"/>
      <c r="W170" s="2"/>
      <c r="X170" s="2"/>
      <c r="Y170" s="2"/>
      <c r="Z170" s="2"/>
    </row>
    <row r="171" ht="15.75" customHeight="1">
      <c r="A171" s="1"/>
      <c r="B171" s="1"/>
      <c r="C171" s="1"/>
      <c r="D171" s="1"/>
      <c r="E171" s="1"/>
      <c r="F171" s="1"/>
      <c r="G171" s="1"/>
      <c r="H171" s="1"/>
      <c r="I171" s="1"/>
      <c r="J171" s="1"/>
      <c r="K171" s="1"/>
      <c r="L171" s="1"/>
      <c r="M171" s="1"/>
      <c r="N171" s="1"/>
      <c r="O171" s="1"/>
      <c r="P171" s="1"/>
      <c r="Q171" s="1"/>
      <c r="R171" s="2"/>
      <c r="S171" s="2"/>
      <c r="T171" s="2"/>
      <c r="U171" s="2"/>
      <c r="V171" s="2"/>
      <c r="W171" s="2"/>
      <c r="X171" s="2"/>
      <c r="Y171" s="2"/>
      <c r="Z171" s="2"/>
    </row>
    <row r="172" ht="15.75" customHeight="1">
      <c r="A172" s="1"/>
      <c r="B172" s="1"/>
      <c r="C172" s="1"/>
      <c r="D172" s="1"/>
      <c r="E172" s="1"/>
      <c r="F172" s="1"/>
      <c r="G172" s="1"/>
      <c r="H172" s="1"/>
      <c r="I172" s="1"/>
      <c r="J172" s="1"/>
      <c r="K172" s="1"/>
      <c r="L172" s="1"/>
      <c r="M172" s="1"/>
      <c r="N172" s="1"/>
      <c r="O172" s="1"/>
      <c r="P172" s="1"/>
      <c r="Q172" s="1"/>
      <c r="R172" s="2"/>
      <c r="S172" s="2"/>
      <c r="T172" s="2"/>
      <c r="U172" s="2"/>
      <c r="V172" s="2"/>
      <c r="W172" s="2"/>
      <c r="X172" s="2"/>
      <c r="Y172" s="2"/>
      <c r="Z172" s="2"/>
    </row>
    <row r="173" ht="15.75" customHeight="1">
      <c r="A173" s="1"/>
      <c r="B173" s="1"/>
      <c r="C173" s="1"/>
      <c r="D173" s="1"/>
      <c r="E173" s="1"/>
      <c r="F173" s="1"/>
      <c r="G173" s="1"/>
      <c r="H173" s="1"/>
      <c r="I173" s="1"/>
      <c r="J173" s="1"/>
      <c r="K173" s="1"/>
      <c r="L173" s="1"/>
      <c r="M173" s="1"/>
      <c r="N173" s="1"/>
      <c r="O173" s="1"/>
      <c r="P173" s="1"/>
      <c r="Q173" s="1"/>
      <c r="R173" s="2"/>
      <c r="S173" s="2"/>
      <c r="T173" s="2"/>
      <c r="U173" s="2"/>
      <c r="V173" s="2"/>
      <c r="W173" s="2"/>
      <c r="X173" s="2"/>
      <c r="Y173" s="2"/>
      <c r="Z173" s="2"/>
    </row>
    <row r="174" ht="15.75" customHeight="1">
      <c r="A174" s="1"/>
      <c r="B174" s="1"/>
      <c r="C174" s="1"/>
      <c r="D174" s="1"/>
      <c r="E174" s="1"/>
      <c r="F174" s="1"/>
      <c r="G174" s="1"/>
      <c r="H174" s="1"/>
      <c r="I174" s="1"/>
      <c r="J174" s="1"/>
      <c r="K174" s="1"/>
      <c r="L174" s="1"/>
      <c r="M174" s="1"/>
      <c r="N174" s="1"/>
      <c r="O174" s="1"/>
      <c r="P174" s="1"/>
      <c r="Q174" s="1"/>
      <c r="R174" s="2"/>
      <c r="S174" s="2"/>
      <c r="T174" s="2"/>
      <c r="U174" s="2"/>
      <c r="V174" s="2"/>
      <c r="W174" s="2"/>
      <c r="X174" s="2"/>
      <c r="Y174" s="2"/>
      <c r="Z174" s="2"/>
    </row>
    <row r="175" ht="15.75" customHeight="1">
      <c r="A175" s="1"/>
      <c r="B175" s="1"/>
      <c r="C175" s="1"/>
      <c r="D175" s="1"/>
      <c r="E175" s="1"/>
      <c r="F175" s="1"/>
      <c r="G175" s="1"/>
      <c r="H175" s="1"/>
      <c r="I175" s="1"/>
      <c r="J175" s="1"/>
      <c r="K175" s="1"/>
      <c r="L175" s="1"/>
      <c r="M175" s="1"/>
      <c r="N175" s="1"/>
      <c r="O175" s="1"/>
      <c r="P175" s="1"/>
      <c r="Q175" s="1"/>
      <c r="R175" s="2"/>
      <c r="S175" s="2"/>
      <c r="T175" s="2"/>
      <c r="U175" s="2"/>
      <c r="V175" s="2"/>
      <c r="W175" s="2"/>
      <c r="X175" s="2"/>
      <c r="Y175" s="2"/>
      <c r="Z175" s="2"/>
    </row>
    <row r="176" ht="15.75" customHeight="1">
      <c r="A176" s="1"/>
      <c r="B176" s="1"/>
      <c r="C176" s="1"/>
      <c r="D176" s="1"/>
      <c r="E176" s="1"/>
      <c r="F176" s="1"/>
      <c r="G176" s="1"/>
      <c r="H176" s="1"/>
      <c r="I176" s="1"/>
      <c r="J176" s="1"/>
      <c r="K176" s="1"/>
      <c r="L176" s="1"/>
      <c r="M176" s="1"/>
      <c r="N176" s="1"/>
      <c r="O176" s="1"/>
      <c r="P176" s="1"/>
      <c r="Q176" s="1"/>
      <c r="R176" s="2"/>
      <c r="S176" s="2"/>
      <c r="T176" s="2"/>
      <c r="U176" s="2"/>
      <c r="V176" s="2"/>
      <c r="W176" s="2"/>
      <c r="X176" s="2"/>
      <c r="Y176" s="2"/>
      <c r="Z176" s="2"/>
    </row>
    <row r="177" ht="15.75" customHeight="1">
      <c r="A177" s="1"/>
      <c r="B177" s="1"/>
      <c r="C177" s="1"/>
      <c r="D177" s="1"/>
      <c r="E177" s="1"/>
      <c r="F177" s="1"/>
      <c r="G177" s="1"/>
      <c r="H177" s="1"/>
      <c r="I177" s="1"/>
      <c r="J177" s="1"/>
      <c r="K177" s="1"/>
      <c r="L177" s="1"/>
      <c r="M177" s="1"/>
      <c r="N177" s="1"/>
      <c r="O177" s="1"/>
      <c r="P177" s="1"/>
      <c r="Q177" s="1"/>
      <c r="R177" s="2"/>
      <c r="S177" s="2"/>
      <c r="T177" s="2"/>
      <c r="U177" s="2"/>
      <c r="V177" s="2"/>
      <c r="W177" s="2"/>
      <c r="X177" s="2"/>
      <c r="Y177" s="2"/>
      <c r="Z177" s="2"/>
    </row>
    <row r="178" ht="15.75" customHeight="1">
      <c r="A178" s="1"/>
      <c r="B178" s="1"/>
      <c r="C178" s="1"/>
      <c r="D178" s="1"/>
      <c r="E178" s="1"/>
      <c r="F178" s="1"/>
      <c r="G178" s="1"/>
      <c r="H178" s="1"/>
      <c r="I178" s="1"/>
      <c r="J178" s="1"/>
      <c r="K178" s="1"/>
      <c r="L178" s="1"/>
      <c r="M178" s="1"/>
      <c r="N178" s="1"/>
      <c r="O178" s="1"/>
      <c r="P178" s="1"/>
      <c r="Q178" s="1"/>
      <c r="R178" s="2"/>
      <c r="S178" s="2"/>
      <c r="T178" s="2"/>
      <c r="U178" s="2"/>
      <c r="V178" s="2"/>
      <c r="W178" s="2"/>
      <c r="X178" s="2"/>
      <c r="Y178" s="2"/>
      <c r="Z178" s="2"/>
    </row>
    <row r="179" ht="15.75" customHeight="1">
      <c r="A179" s="1"/>
      <c r="B179" s="1"/>
      <c r="C179" s="1"/>
      <c r="D179" s="1"/>
      <c r="E179" s="1"/>
      <c r="F179" s="1"/>
      <c r="G179" s="1"/>
      <c r="H179" s="1"/>
      <c r="I179" s="1"/>
      <c r="J179" s="1"/>
      <c r="K179" s="1"/>
      <c r="L179" s="1"/>
      <c r="M179" s="1"/>
      <c r="N179" s="1"/>
      <c r="O179" s="1"/>
      <c r="P179" s="1"/>
      <c r="Q179" s="1"/>
      <c r="R179" s="2"/>
      <c r="S179" s="2"/>
      <c r="T179" s="2"/>
      <c r="U179" s="2"/>
      <c r="V179" s="2"/>
      <c r="W179" s="2"/>
      <c r="X179" s="2"/>
      <c r="Y179" s="2"/>
      <c r="Z179" s="2"/>
    </row>
    <row r="180" ht="15.75" customHeight="1">
      <c r="A180" s="1"/>
      <c r="B180" s="1"/>
      <c r="C180" s="1"/>
      <c r="D180" s="1"/>
      <c r="E180" s="1"/>
      <c r="F180" s="1"/>
      <c r="G180" s="1"/>
      <c r="H180" s="1"/>
      <c r="I180" s="1"/>
      <c r="J180" s="1"/>
      <c r="K180" s="1"/>
      <c r="L180" s="1"/>
      <c r="M180" s="1"/>
      <c r="N180" s="1"/>
      <c r="O180" s="1"/>
      <c r="P180" s="1"/>
      <c r="Q180" s="1"/>
      <c r="R180" s="2"/>
      <c r="S180" s="2"/>
      <c r="T180" s="2"/>
      <c r="U180" s="2"/>
      <c r="V180" s="2"/>
      <c r="W180" s="2"/>
      <c r="X180" s="2"/>
      <c r="Y180" s="2"/>
      <c r="Z180" s="2"/>
    </row>
    <row r="181" ht="15.75" customHeight="1">
      <c r="A181" s="1"/>
      <c r="B181" s="1"/>
      <c r="C181" s="1"/>
      <c r="D181" s="1"/>
      <c r="E181" s="1"/>
      <c r="F181" s="1"/>
      <c r="G181" s="1"/>
      <c r="H181" s="1"/>
      <c r="I181" s="1"/>
      <c r="J181" s="1"/>
      <c r="K181" s="1"/>
      <c r="L181" s="1"/>
      <c r="M181" s="1"/>
      <c r="N181" s="1"/>
      <c r="O181" s="1"/>
      <c r="P181" s="1"/>
      <c r="Q181" s="1"/>
      <c r="R181" s="2"/>
      <c r="S181" s="2"/>
      <c r="T181" s="2"/>
      <c r="U181" s="2"/>
      <c r="V181" s="2"/>
      <c r="W181" s="2"/>
      <c r="X181" s="2"/>
      <c r="Y181" s="2"/>
      <c r="Z181" s="2"/>
    </row>
    <row r="182" ht="15.75" customHeight="1">
      <c r="A182" s="1"/>
      <c r="B182" s="1"/>
      <c r="C182" s="1"/>
      <c r="D182" s="1"/>
      <c r="E182" s="1"/>
      <c r="F182" s="1"/>
      <c r="G182" s="1"/>
      <c r="H182" s="1"/>
      <c r="I182" s="1"/>
      <c r="J182" s="1"/>
      <c r="K182" s="1"/>
      <c r="L182" s="1"/>
      <c r="M182" s="1"/>
      <c r="N182" s="1"/>
      <c r="O182" s="1"/>
      <c r="P182" s="1"/>
      <c r="Q182" s="1"/>
      <c r="R182" s="2"/>
      <c r="S182" s="2"/>
      <c r="T182" s="2"/>
      <c r="U182" s="2"/>
      <c r="V182" s="2"/>
      <c r="W182" s="2"/>
      <c r="X182" s="2"/>
      <c r="Y182" s="2"/>
      <c r="Z182" s="2"/>
    </row>
    <row r="183" ht="15.75" customHeight="1">
      <c r="A183" s="1"/>
      <c r="B183" s="1"/>
      <c r="C183" s="1"/>
      <c r="D183" s="1"/>
      <c r="E183" s="1"/>
      <c r="F183" s="1"/>
      <c r="G183" s="1"/>
      <c r="H183" s="1"/>
      <c r="I183" s="1"/>
      <c r="J183" s="1"/>
      <c r="K183" s="1"/>
      <c r="L183" s="1"/>
      <c r="M183" s="1"/>
      <c r="N183" s="1"/>
      <c r="O183" s="1"/>
      <c r="P183" s="1"/>
      <c r="Q183" s="1"/>
      <c r="R183" s="2"/>
      <c r="S183" s="2"/>
      <c r="T183" s="2"/>
      <c r="U183" s="2"/>
      <c r="V183" s="2"/>
      <c r="W183" s="2"/>
      <c r="X183" s="2"/>
      <c r="Y183" s="2"/>
      <c r="Z183" s="2"/>
    </row>
    <row r="184" ht="15.75" customHeight="1">
      <c r="A184" s="1"/>
      <c r="B184" s="1"/>
      <c r="C184" s="1"/>
      <c r="D184" s="1"/>
      <c r="E184" s="1"/>
      <c r="F184" s="1"/>
      <c r="G184" s="1"/>
      <c r="H184" s="1"/>
      <c r="I184" s="1"/>
      <c r="J184" s="1"/>
      <c r="K184" s="1"/>
      <c r="L184" s="1"/>
      <c r="M184" s="1"/>
      <c r="N184" s="1"/>
      <c r="O184" s="1"/>
      <c r="P184" s="1"/>
      <c r="Q184" s="1"/>
      <c r="R184" s="2"/>
      <c r="S184" s="2"/>
      <c r="T184" s="2"/>
      <c r="U184" s="2"/>
      <c r="V184" s="2"/>
      <c r="W184" s="2"/>
      <c r="X184" s="2"/>
      <c r="Y184" s="2"/>
      <c r="Z184" s="2"/>
    </row>
    <row r="185" ht="15.75" customHeight="1">
      <c r="A185" s="1"/>
      <c r="B185" s="1"/>
      <c r="C185" s="1"/>
      <c r="D185" s="1"/>
      <c r="E185" s="1"/>
      <c r="F185" s="1"/>
      <c r="G185" s="1"/>
      <c r="H185" s="1"/>
      <c r="I185" s="1"/>
      <c r="J185" s="1"/>
      <c r="K185" s="1"/>
      <c r="L185" s="1"/>
      <c r="M185" s="1"/>
      <c r="N185" s="1"/>
      <c r="O185" s="1"/>
      <c r="P185" s="1"/>
      <c r="Q185" s="1"/>
      <c r="R185" s="2"/>
      <c r="S185" s="2"/>
      <c r="T185" s="2"/>
      <c r="U185" s="2"/>
      <c r="V185" s="2"/>
      <c r="W185" s="2"/>
      <c r="X185" s="2"/>
      <c r="Y185" s="2"/>
      <c r="Z185" s="2"/>
    </row>
    <row r="186" ht="15.75" customHeight="1">
      <c r="A186" s="1"/>
      <c r="B186" s="1"/>
      <c r="C186" s="1"/>
      <c r="D186" s="1"/>
      <c r="E186" s="1"/>
      <c r="F186" s="1"/>
      <c r="G186" s="1"/>
      <c r="H186" s="1"/>
      <c r="I186" s="1"/>
      <c r="J186" s="1"/>
      <c r="K186" s="1"/>
      <c r="L186" s="1"/>
      <c r="M186" s="1"/>
      <c r="N186" s="1"/>
      <c r="O186" s="1"/>
      <c r="P186" s="1"/>
      <c r="Q186" s="1"/>
      <c r="R186" s="2"/>
      <c r="S186" s="2"/>
      <c r="T186" s="2"/>
      <c r="U186" s="2"/>
      <c r="V186" s="2"/>
      <c r="W186" s="2"/>
      <c r="X186" s="2"/>
      <c r="Y186" s="2"/>
      <c r="Z186" s="2"/>
    </row>
    <row r="187" ht="15.75" customHeight="1">
      <c r="A187" s="1"/>
      <c r="B187" s="1"/>
      <c r="C187" s="1"/>
      <c r="D187" s="1"/>
      <c r="E187" s="1"/>
      <c r="F187" s="1"/>
      <c r="G187" s="1"/>
      <c r="H187" s="1"/>
      <c r="I187" s="1"/>
      <c r="J187" s="1"/>
      <c r="K187" s="1"/>
      <c r="L187" s="1"/>
      <c r="M187" s="1"/>
      <c r="N187" s="1"/>
      <c r="O187" s="1"/>
      <c r="P187" s="1"/>
      <c r="Q187" s="1"/>
      <c r="R187" s="2"/>
      <c r="S187" s="2"/>
      <c r="T187" s="2"/>
      <c r="U187" s="2"/>
      <c r="V187" s="2"/>
      <c r="W187" s="2"/>
      <c r="X187" s="2"/>
      <c r="Y187" s="2"/>
      <c r="Z187" s="2"/>
    </row>
    <row r="188" ht="15.75" customHeight="1">
      <c r="A188" s="1"/>
      <c r="B188" s="1"/>
      <c r="C188" s="1"/>
      <c r="D188" s="1"/>
      <c r="E188" s="1"/>
      <c r="F188" s="1"/>
      <c r="G188" s="1"/>
      <c r="H188" s="1"/>
      <c r="I188" s="1"/>
      <c r="J188" s="1"/>
      <c r="K188" s="1"/>
      <c r="L188" s="1"/>
      <c r="M188" s="1"/>
      <c r="N188" s="1"/>
      <c r="O188" s="1"/>
      <c r="P188" s="1"/>
      <c r="Q188" s="1"/>
      <c r="R188" s="2"/>
      <c r="S188" s="2"/>
      <c r="T188" s="2"/>
      <c r="U188" s="2"/>
      <c r="V188" s="2"/>
      <c r="W188" s="2"/>
      <c r="X188" s="2"/>
      <c r="Y188" s="2"/>
      <c r="Z188" s="2"/>
    </row>
    <row r="189" ht="15.75" customHeight="1">
      <c r="A189" s="1"/>
      <c r="B189" s="1"/>
      <c r="C189" s="1"/>
      <c r="D189" s="1"/>
      <c r="E189" s="1"/>
      <c r="F189" s="1"/>
      <c r="G189" s="1"/>
      <c r="H189" s="1"/>
      <c r="I189" s="1"/>
      <c r="J189" s="1"/>
      <c r="K189" s="1"/>
      <c r="L189" s="1"/>
      <c r="M189" s="1"/>
      <c r="N189" s="1"/>
      <c r="O189" s="1"/>
      <c r="P189" s="1"/>
      <c r="Q189" s="1"/>
      <c r="R189" s="2"/>
      <c r="S189" s="2"/>
      <c r="T189" s="2"/>
      <c r="U189" s="2"/>
      <c r="V189" s="2"/>
      <c r="W189" s="2"/>
      <c r="X189" s="2"/>
      <c r="Y189" s="2"/>
      <c r="Z189" s="2"/>
    </row>
    <row r="190" ht="15.75" customHeight="1">
      <c r="A190" s="1"/>
      <c r="B190" s="1"/>
      <c r="C190" s="1"/>
      <c r="D190" s="1"/>
      <c r="E190" s="1"/>
      <c r="F190" s="1"/>
      <c r="G190" s="1"/>
      <c r="H190" s="1"/>
      <c r="I190" s="1"/>
      <c r="J190" s="1"/>
      <c r="K190" s="1"/>
      <c r="L190" s="1"/>
      <c r="M190" s="1"/>
      <c r="N190" s="1"/>
      <c r="O190" s="1"/>
      <c r="P190" s="1"/>
      <c r="Q190" s="1"/>
      <c r="R190" s="2"/>
      <c r="S190" s="2"/>
      <c r="T190" s="2"/>
      <c r="U190" s="2"/>
      <c r="V190" s="2"/>
      <c r="W190" s="2"/>
      <c r="X190" s="2"/>
      <c r="Y190" s="2"/>
      <c r="Z190" s="2"/>
    </row>
    <row r="191" ht="15.75" customHeight="1">
      <c r="A191" s="1"/>
      <c r="B191" s="1"/>
      <c r="C191" s="1"/>
      <c r="D191" s="1"/>
      <c r="E191" s="1"/>
      <c r="F191" s="1"/>
      <c r="G191" s="1"/>
      <c r="H191" s="1"/>
      <c r="I191" s="1"/>
      <c r="J191" s="1"/>
      <c r="K191" s="1"/>
      <c r="L191" s="1"/>
      <c r="M191" s="1"/>
      <c r="N191" s="1"/>
      <c r="O191" s="1"/>
      <c r="P191" s="1"/>
      <c r="Q191" s="1"/>
      <c r="R191" s="2"/>
      <c r="S191" s="2"/>
      <c r="T191" s="2"/>
      <c r="U191" s="2"/>
      <c r="V191" s="2"/>
      <c r="W191" s="2"/>
      <c r="X191" s="2"/>
      <c r="Y191" s="2"/>
      <c r="Z191" s="2"/>
    </row>
    <row r="192" ht="15.75" customHeight="1">
      <c r="A192" s="1"/>
      <c r="B192" s="1"/>
      <c r="C192" s="1"/>
      <c r="D192" s="1"/>
      <c r="E192" s="1"/>
      <c r="F192" s="1"/>
      <c r="G192" s="1"/>
      <c r="H192" s="1"/>
      <c r="I192" s="1"/>
      <c r="J192" s="1"/>
      <c r="K192" s="1"/>
      <c r="L192" s="1"/>
      <c r="M192" s="1"/>
      <c r="N192" s="1"/>
      <c r="O192" s="1"/>
      <c r="P192" s="1"/>
      <c r="Q192" s="1"/>
      <c r="R192" s="2"/>
      <c r="S192" s="2"/>
      <c r="T192" s="2"/>
      <c r="U192" s="2"/>
      <c r="V192" s="2"/>
      <c r="W192" s="2"/>
      <c r="X192" s="2"/>
      <c r="Y192" s="2"/>
      <c r="Z192" s="2"/>
    </row>
    <row r="193" ht="15.75" customHeight="1">
      <c r="A193" s="1"/>
      <c r="B193" s="1"/>
      <c r="C193" s="1"/>
      <c r="D193" s="1"/>
      <c r="E193" s="1"/>
      <c r="F193" s="1"/>
      <c r="G193" s="1"/>
      <c r="H193" s="1"/>
      <c r="I193" s="1"/>
      <c r="J193" s="1"/>
      <c r="K193" s="1"/>
      <c r="L193" s="1"/>
      <c r="M193" s="1"/>
      <c r="N193" s="1"/>
      <c r="O193" s="1"/>
      <c r="P193" s="1"/>
      <c r="Q193" s="1"/>
      <c r="R193" s="2"/>
      <c r="S193" s="2"/>
      <c r="T193" s="2"/>
      <c r="U193" s="2"/>
      <c r="V193" s="2"/>
      <c r="W193" s="2"/>
      <c r="X193" s="2"/>
      <c r="Y193" s="2"/>
      <c r="Z193" s="2"/>
    </row>
    <row r="194" ht="15.75" customHeight="1">
      <c r="A194" s="1"/>
      <c r="B194" s="1"/>
      <c r="C194" s="1"/>
      <c r="D194" s="1"/>
      <c r="E194" s="1"/>
      <c r="F194" s="1"/>
      <c r="G194" s="1"/>
      <c r="H194" s="1"/>
      <c r="I194" s="1"/>
      <c r="J194" s="1"/>
      <c r="K194" s="1"/>
      <c r="L194" s="1"/>
      <c r="M194" s="1"/>
      <c r="N194" s="1"/>
      <c r="O194" s="1"/>
      <c r="P194" s="1"/>
      <c r="Q194" s="1"/>
      <c r="R194" s="2"/>
      <c r="S194" s="2"/>
      <c r="T194" s="2"/>
      <c r="U194" s="2"/>
      <c r="V194" s="2"/>
      <c r="W194" s="2"/>
      <c r="X194" s="2"/>
      <c r="Y194" s="2"/>
      <c r="Z194" s="2"/>
    </row>
    <row r="195" ht="15.75" customHeight="1">
      <c r="A195" s="1"/>
      <c r="B195" s="1"/>
      <c r="C195" s="1"/>
      <c r="D195" s="1"/>
      <c r="E195" s="1"/>
      <c r="F195" s="1"/>
      <c r="G195" s="1"/>
      <c r="H195" s="1"/>
      <c r="I195" s="1"/>
      <c r="J195" s="1"/>
      <c r="K195" s="1"/>
      <c r="L195" s="1"/>
      <c r="M195" s="1"/>
      <c r="N195" s="1"/>
      <c r="O195" s="1"/>
      <c r="P195" s="1"/>
      <c r="Q195" s="1"/>
      <c r="R195" s="2"/>
      <c r="S195" s="2"/>
      <c r="T195" s="2"/>
      <c r="U195" s="2"/>
      <c r="V195" s="2"/>
      <c r="W195" s="2"/>
      <c r="X195" s="2"/>
      <c r="Y195" s="2"/>
      <c r="Z195" s="2"/>
    </row>
    <row r="196" ht="15.75" customHeight="1">
      <c r="A196" s="1"/>
      <c r="B196" s="1"/>
      <c r="C196" s="1"/>
      <c r="D196" s="1"/>
      <c r="E196" s="1"/>
      <c r="F196" s="1"/>
      <c r="G196" s="1"/>
      <c r="H196" s="1"/>
      <c r="I196" s="1"/>
      <c r="J196" s="1"/>
      <c r="K196" s="1"/>
      <c r="L196" s="1"/>
      <c r="M196" s="1"/>
      <c r="N196" s="1"/>
      <c r="O196" s="1"/>
      <c r="P196" s="1"/>
      <c r="Q196" s="1"/>
      <c r="R196" s="2"/>
      <c r="S196" s="2"/>
      <c r="T196" s="2"/>
      <c r="U196" s="2"/>
      <c r="V196" s="2"/>
      <c r="W196" s="2"/>
      <c r="X196" s="2"/>
      <c r="Y196" s="2"/>
      <c r="Z196" s="2"/>
    </row>
    <row r="197" ht="15.75" customHeight="1">
      <c r="A197" s="1"/>
      <c r="B197" s="1"/>
      <c r="C197" s="1"/>
      <c r="D197" s="1"/>
      <c r="E197" s="1"/>
      <c r="F197" s="1"/>
      <c r="G197" s="1"/>
      <c r="H197" s="1"/>
      <c r="I197" s="1"/>
      <c r="J197" s="1"/>
      <c r="K197" s="1"/>
      <c r="L197" s="1"/>
      <c r="M197" s="1"/>
      <c r="N197" s="1"/>
      <c r="O197" s="1"/>
      <c r="P197" s="1"/>
      <c r="Q197" s="1"/>
      <c r="R197" s="2"/>
      <c r="S197" s="2"/>
      <c r="T197" s="2"/>
      <c r="U197" s="2"/>
      <c r="V197" s="2"/>
      <c r="W197" s="2"/>
      <c r="X197" s="2"/>
      <c r="Y197" s="2"/>
      <c r="Z197" s="2"/>
    </row>
    <row r="198" ht="15.75" customHeight="1">
      <c r="A198" s="1"/>
      <c r="B198" s="1"/>
      <c r="C198" s="1"/>
      <c r="D198" s="1"/>
      <c r="E198" s="1"/>
      <c r="F198" s="1"/>
      <c r="G198" s="1"/>
      <c r="H198" s="1"/>
      <c r="I198" s="1"/>
      <c r="J198" s="1"/>
      <c r="K198" s="1"/>
      <c r="L198" s="1"/>
      <c r="M198" s="1"/>
      <c r="N198" s="1"/>
      <c r="O198" s="1"/>
      <c r="P198" s="1"/>
      <c r="Q198" s="1"/>
      <c r="R198" s="2"/>
      <c r="S198" s="2"/>
      <c r="T198" s="2"/>
      <c r="U198" s="2"/>
      <c r="V198" s="2"/>
      <c r="W198" s="2"/>
      <c r="X198" s="2"/>
      <c r="Y198" s="2"/>
      <c r="Z198" s="2"/>
    </row>
    <row r="199" ht="15.75" customHeight="1">
      <c r="A199" s="1"/>
      <c r="B199" s="1"/>
      <c r="C199" s="1"/>
      <c r="D199" s="1"/>
      <c r="E199" s="1"/>
      <c r="F199" s="1"/>
      <c r="G199" s="1"/>
      <c r="H199" s="1"/>
      <c r="I199" s="1"/>
      <c r="J199" s="1"/>
      <c r="K199" s="1"/>
      <c r="L199" s="1"/>
      <c r="M199" s="1"/>
      <c r="N199" s="1"/>
      <c r="O199" s="1"/>
      <c r="P199" s="1"/>
      <c r="Q199" s="1"/>
      <c r="R199" s="2"/>
      <c r="S199" s="2"/>
      <c r="T199" s="2"/>
      <c r="U199" s="2"/>
      <c r="V199" s="2"/>
      <c r="W199" s="2"/>
      <c r="X199" s="2"/>
      <c r="Y199" s="2"/>
      <c r="Z199" s="2"/>
    </row>
    <row r="200" ht="15.75" customHeight="1">
      <c r="A200" s="1"/>
      <c r="B200" s="1"/>
      <c r="C200" s="1"/>
      <c r="D200" s="1"/>
      <c r="E200" s="1"/>
      <c r="F200" s="1"/>
      <c r="G200" s="1"/>
      <c r="H200" s="1"/>
      <c r="I200" s="1"/>
      <c r="J200" s="1"/>
      <c r="K200" s="1"/>
      <c r="L200" s="1"/>
      <c r="M200" s="1"/>
      <c r="N200" s="1"/>
      <c r="O200" s="1"/>
      <c r="P200" s="1"/>
      <c r="Q200" s="1"/>
      <c r="R200" s="2"/>
      <c r="S200" s="2"/>
      <c r="T200" s="2"/>
      <c r="U200" s="2"/>
      <c r="V200" s="2"/>
      <c r="W200" s="2"/>
      <c r="X200" s="2"/>
      <c r="Y200" s="2"/>
      <c r="Z200" s="2"/>
    </row>
    <row r="201" ht="15.75" customHeight="1">
      <c r="A201" s="1"/>
      <c r="B201" s="1"/>
      <c r="C201" s="1"/>
      <c r="D201" s="1"/>
      <c r="E201" s="1"/>
      <c r="F201" s="1"/>
      <c r="G201" s="1"/>
      <c r="H201" s="1"/>
      <c r="I201" s="1"/>
      <c r="J201" s="1"/>
      <c r="K201" s="1"/>
      <c r="L201" s="1"/>
      <c r="M201" s="1"/>
      <c r="N201" s="1"/>
      <c r="O201" s="1"/>
      <c r="P201" s="1"/>
      <c r="Q201" s="1"/>
      <c r="R201" s="2"/>
      <c r="S201" s="2"/>
      <c r="T201" s="2"/>
      <c r="U201" s="2"/>
      <c r="V201" s="2"/>
      <c r="W201" s="2"/>
      <c r="X201" s="2"/>
      <c r="Y201" s="2"/>
      <c r="Z201" s="2"/>
    </row>
    <row r="202" ht="15.75" customHeight="1">
      <c r="A202" s="1"/>
      <c r="B202" s="1"/>
      <c r="C202" s="1"/>
      <c r="D202" s="1"/>
      <c r="E202" s="1"/>
      <c r="F202" s="1"/>
      <c r="G202" s="1"/>
      <c r="H202" s="1"/>
      <c r="I202" s="1"/>
      <c r="J202" s="1"/>
      <c r="K202" s="1"/>
      <c r="L202" s="1"/>
      <c r="M202" s="1"/>
      <c r="N202" s="1"/>
      <c r="O202" s="1"/>
      <c r="P202" s="1"/>
      <c r="Q202" s="1"/>
      <c r="R202" s="2"/>
      <c r="S202" s="2"/>
      <c r="T202" s="2"/>
      <c r="U202" s="2"/>
      <c r="V202" s="2"/>
      <c r="W202" s="2"/>
      <c r="X202" s="2"/>
      <c r="Y202" s="2"/>
      <c r="Z202" s="2"/>
    </row>
    <row r="203" ht="15.75" customHeight="1">
      <c r="A203" s="1"/>
      <c r="B203" s="1"/>
      <c r="C203" s="1"/>
      <c r="D203" s="1"/>
      <c r="E203" s="1"/>
      <c r="F203" s="1"/>
      <c r="G203" s="1"/>
      <c r="H203" s="1"/>
      <c r="I203" s="1"/>
      <c r="J203" s="1"/>
      <c r="K203" s="1"/>
      <c r="L203" s="1"/>
      <c r="M203" s="1"/>
      <c r="N203" s="1"/>
      <c r="O203" s="1"/>
      <c r="P203" s="1"/>
      <c r="Q203" s="1"/>
      <c r="R203" s="2"/>
      <c r="S203" s="2"/>
      <c r="T203" s="2"/>
      <c r="U203" s="2"/>
      <c r="V203" s="2"/>
      <c r="W203" s="2"/>
      <c r="X203" s="2"/>
      <c r="Y203" s="2"/>
      <c r="Z203" s="2"/>
    </row>
    <row r="204" ht="15.75" customHeight="1">
      <c r="A204" s="1"/>
      <c r="B204" s="1"/>
      <c r="C204" s="1"/>
      <c r="D204" s="1"/>
      <c r="E204" s="1"/>
      <c r="F204" s="1"/>
      <c r="G204" s="1"/>
      <c r="H204" s="1"/>
      <c r="I204" s="1"/>
      <c r="J204" s="1"/>
      <c r="K204" s="1"/>
      <c r="L204" s="1"/>
      <c r="M204" s="1"/>
      <c r="N204" s="1"/>
      <c r="O204" s="1"/>
      <c r="P204" s="1"/>
      <c r="Q204" s="1"/>
      <c r="R204" s="2"/>
      <c r="S204" s="2"/>
      <c r="T204" s="2"/>
      <c r="U204" s="2"/>
      <c r="V204" s="2"/>
      <c r="W204" s="2"/>
      <c r="X204" s="2"/>
      <c r="Y204" s="2"/>
      <c r="Z204" s="2"/>
    </row>
    <row r="205" ht="15.75" customHeight="1">
      <c r="A205" s="1"/>
      <c r="B205" s="1"/>
      <c r="C205" s="1"/>
      <c r="D205" s="1"/>
      <c r="E205" s="1"/>
      <c r="F205" s="1"/>
      <c r="G205" s="1"/>
      <c r="H205" s="1"/>
      <c r="I205" s="1"/>
      <c r="J205" s="1"/>
      <c r="K205" s="1"/>
      <c r="L205" s="1"/>
      <c r="M205" s="1"/>
      <c r="N205" s="1"/>
      <c r="O205" s="1"/>
      <c r="P205" s="1"/>
      <c r="Q205" s="1"/>
      <c r="R205" s="2"/>
      <c r="S205" s="2"/>
      <c r="T205" s="2"/>
      <c r="U205" s="2"/>
      <c r="V205" s="2"/>
      <c r="W205" s="2"/>
      <c r="X205" s="2"/>
      <c r="Y205" s="2"/>
      <c r="Z205" s="2"/>
    </row>
    <row r="206" ht="15.75" customHeight="1">
      <c r="A206" s="1"/>
      <c r="B206" s="1"/>
      <c r="C206" s="1"/>
      <c r="D206" s="1"/>
      <c r="E206" s="1"/>
      <c r="F206" s="1"/>
      <c r="G206" s="1"/>
      <c r="H206" s="1"/>
      <c r="I206" s="1"/>
      <c r="J206" s="1"/>
      <c r="K206" s="1"/>
      <c r="L206" s="1"/>
      <c r="M206" s="1"/>
      <c r="N206" s="1"/>
      <c r="O206" s="1"/>
      <c r="P206" s="1"/>
      <c r="Q206" s="1"/>
      <c r="R206" s="2"/>
      <c r="S206" s="2"/>
      <c r="T206" s="2"/>
      <c r="U206" s="2"/>
      <c r="V206" s="2"/>
      <c r="W206" s="2"/>
      <c r="X206" s="2"/>
      <c r="Y206" s="2"/>
      <c r="Z206" s="2"/>
    </row>
    <row r="207" ht="15.75" customHeight="1">
      <c r="A207" s="1"/>
      <c r="B207" s="1"/>
      <c r="C207" s="1"/>
      <c r="D207" s="1"/>
      <c r="E207" s="1"/>
      <c r="F207" s="1"/>
      <c r="G207" s="1"/>
      <c r="H207" s="1"/>
      <c r="I207" s="1"/>
      <c r="J207" s="1"/>
      <c r="K207" s="1"/>
      <c r="L207" s="1"/>
      <c r="M207" s="1"/>
      <c r="N207" s="1"/>
      <c r="O207" s="1"/>
      <c r="P207" s="1"/>
      <c r="Q207" s="1"/>
      <c r="R207" s="2"/>
      <c r="S207" s="2"/>
      <c r="T207" s="2"/>
      <c r="U207" s="2"/>
      <c r="V207" s="2"/>
      <c r="W207" s="2"/>
      <c r="X207" s="2"/>
      <c r="Y207" s="2"/>
      <c r="Z207" s="2"/>
    </row>
    <row r="208" ht="15.75" customHeight="1">
      <c r="A208" s="1"/>
      <c r="B208" s="1"/>
      <c r="C208" s="1"/>
      <c r="D208" s="1"/>
      <c r="E208" s="1"/>
      <c r="F208" s="1"/>
      <c r="G208" s="1"/>
      <c r="H208" s="1"/>
      <c r="I208" s="1"/>
      <c r="J208" s="1"/>
      <c r="K208" s="1"/>
      <c r="L208" s="1"/>
      <c r="M208" s="1"/>
      <c r="N208" s="1"/>
      <c r="O208" s="1"/>
      <c r="P208" s="1"/>
      <c r="Q208" s="1"/>
      <c r="R208" s="2"/>
      <c r="S208" s="2"/>
      <c r="T208" s="2"/>
      <c r="U208" s="2"/>
      <c r="V208" s="2"/>
      <c r="W208" s="2"/>
      <c r="X208" s="2"/>
      <c r="Y208" s="2"/>
      <c r="Z208" s="2"/>
    </row>
    <row r="209" ht="15.75" customHeight="1">
      <c r="A209" s="1"/>
      <c r="B209" s="1"/>
      <c r="C209" s="1"/>
      <c r="D209" s="1"/>
      <c r="E209" s="1"/>
      <c r="F209" s="1"/>
      <c r="G209" s="1"/>
      <c r="H209" s="1"/>
      <c r="I209" s="1"/>
      <c r="J209" s="1"/>
      <c r="K209" s="1"/>
      <c r="L209" s="1"/>
      <c r="M209" s="1"/>
      <c r="N209" s="1"/>
      <c r="O209" s="1"/>
      <c r="P209" s="1"/>
      <c r="Q209" s="1"/>
      <c r="R209" s="2"/>
      <c r="S209" s="2"/>
      <c r="T209" s="2"/>
      <c r="U209" s="2"/>
      <c r="V209" s="2"/>
      <c r="W209" s="2"/>
      <c r="X209" s="2"/>
      <c r="Y209" s="2"/>
      <c r="Z209" s="2"/>
    </row>
    <row r="210" ht="15.75" customHeight="1">
      <c r="A210" s="1"/>
      <c r="B210" s="1"/>
      <c r="C210" s="1"/>
      <c r="D210" s="1"/>
      <c r="E210" s="1"/>
      <c r="F210" s="1"/>
      <c r="G210" s="1"/>
      <c r="H210" s="1"/>
      <c r="I210" s="1"/>
      <c r="J210" s="1"/>
      <c r="K210" s="1"/>
      <c r="L210" s="1"/>
      <c r="M210" s="1"/>
      <c r="N210" s="1"/>
      <c r="O210" s="1"/>
      <c r="P210" s="1"/>
      <c r="Q210" s="1"/>
      <c r="R210" s="2"/>
      <c r="S210" s="2"/>
      <c r="T210" s="2"/>
      <c r="U210" s="2"/>
      <c r="V210" s="2"/>
      <c r="W210" s="2"/>
      <c r="X210" s="2"/>
      <c r="Y210" s="2"/>
      <c r="Z210" s="2"/>
    </row>
    <row r="211" ht="15.75" customHeight="1">
      <c r="A211" s="1"/>
      <c r="B211" s="1"/>
      <c r="C211" s="1"/>
      <c r="D211" s="1"/>
      <c r="E211" s="1"/>
      <c r="F211" s="1"/>
      <c r="G211" s="1"/>
      <c r="H211" s="1"/>
      <c r="I211" s="1"/>
      <c r="J211" s="1"/>
      <c r="K211" s="1"/>
      <c r="L211" s="1"/>
      <c r="M211" s="1"/>
      <c r="N211" s="1"/>
      <c r="O211" s="1"/>
      <c r="P211" s="1"/>
      <c r="Q211" s="1"/>
      <c r="R211" s="2"/>
      <c r="S211" s="2"/>
      <c r="T211" s="2"/>
      <c r="U211" s="2"/>
      <c r="V211" s="2"/>
      <c r="W211" s="2"/>
      <c r="X211" s="2"/>
      <c r="Y211" s="2"/>
      <c r="Z211" s="2"/>
    </row>
    <row r="212" ht="15.75" customHeight="1">
      <c r="A212" s="1"/>
      <c r="B212" s="1"/>
      <c r="C212" s="1"/>
      <c r="D212" s="1"/>
      <c r="E212" s="1"/>
      <c r="F212" s="1"/>
      <c r="G212" s="1"/>
      <c r="H212" s="1"/>
      <c r="I212" s="1"/>
      <c r="J212" s="1"/>
      <c r="K212" s="1"/>
      <c r="L212" s="1"/>
      <c r="M212" s="1"/>
      <c r="N212" s="1"/>
      <c r="O212" s="1"/>
      <c r="P212" s="1"/>
      <c r="Q212" s="1"/>
      <c r="R212" s="2"/>
      <c r="S212" s="2"/>
      <c r="T212" s="2"/>
      <c r="U212" s="2"/>
      <c r="V212" s="2"/>
      <c r="W212" s="2"/>
      <c r="X212" s="2"/>
      <c r="Y212" s="2"/>
      <c r="Z212" s="2"/>
    </row>
    <row r="213" ht="15.75" customHeight="1">
      <c r="A213" s="1"/>
      <c r="B213" s="1"/>
      <c r="C213" s="1"/>
      <c r="D213" s="1"/>
      <c r="E213" s="1"/>
      <c r="F213" s="1"/>
      <c r="G213" s="1"/>
      <c r="H213" s="1"/>
      <c r="I213" s="1"/>
      <c r="J213" s="1"/>
      <c r="K213" s="1"/>
      <c r="L213" s="1"/>
      <c r="M213" s="1"/>
      <c r="N213" s="1"/>
      <c r="O213" s="1"/>
      <c r="P213" s="1"/>
      <c r="Q213" s="1"/>
      <c r="R213" s="2"/>
      <c r="S213" s="2"/>
      <c r="T213" s="2"/>
      <c r="U213" s="2"/>
      <c r="V213" s="2"/>
      <c r="W213" s="2"/>
      <c r="X213" s="2"/>
      <c r="Y213" s="2"/>
      <c r="Z213" s="2"/>
    </row>
    <row r="214" ht="15.75" customHeight="1">
      <c r="A214" s="1"/>
      <c r="B214" s="1"/>
      <c r="C214" s="1"/>
      <c r="D214" s="1"/>
      <c r="E214" s="1"/>
      <c r="F214" s="1"/>
      <c r="G214" s="1"/>
      <c r="H214" s="1"/>
      <c r="I214" s="1"/>
      <c r="J214" s="1"/>
      <c r="K214" s="1"/>
      <c r="L214" s="1"/>
      <c r="M214" s="1"/>
      <c r="N214" s="1"/>
      <c r="O214" s="1"/>
      <c r="P214" s="1"/>
      <c r="Q214" s="1"/>
      <c r="R214" s="2"/>
      <c r="S214" s="2"/>
      <c r="T214" s="2"/>
      <c r="U214" s="2"/>
      <c r="V214" s="2"/>
      <c r="W214" s="2"/>
      <c r="X214" s="2"/>
      <c r="Y214" s="2"/>
      <c r="Z214" s="2"/>
    </row>
    <row r="215" ht="15.75" customHeight="1">
      <c r="A215" s="1"/>
      <c r="B215" s="1"/>
      <c r="C215" s="1"/>
      <c r="D215" s="1"/>
      <c r="E215" s="1"/>
      <c r="F215" s="1"/>
      <c r="G215" s="1"/>
      <c r="H215" s="1"/>
      <c r="I215" s="1"/>
      <c r="J215" s="1"/>
      <c r="K215" s="1"/>
      <c r="L215" s="1"/>
      <c r="M215" s="1"/>
      <c r="N215" s="1"/>
      <c r="O215" s="1"/>
      <c r="P215" s="1"/>
      <c r="Q215" s="1"/>
      <c r="R215" s="2"/>
      <c r="S215" s="2"/>
      <c r="T215" s="2"/>
      <c r="U215" s="2"/>
      <c r="V215" s="2"/>
      <c r="W215" s="2"/>
      <c r="X215" s="2"/>
      <c r="Y215" s="2"/>
      <c r="Z215" s="2"/>
    </row>
    <row r="216" ht="15.75" customHeight="1">
      <c r="A216" s="1"/>
      <c r="B216" s="1"/>
      <c r="C216" s="1"/>
      <c r="D216" s="1"/>
      <c r="E216" s="1"/>
      <c r="F216" s="1"/>
      <c r="G216" s="1"/>
      <c r="H216" s="1"/>
      <c r="I216" s="1"/>
      <c r="J216" s="1"/>
      <c r="K216" s="1"/>
      <c r="L216" s="1"/>
      <c r="M216" s="1"/>
      <c r="N216" s="1"/>
      <c r="O216" s="1"/>
      <c r="P216" s="1"/>
      <c r="Q216" s="1"/>
      <c r="R216" s="2"/>
      <c r="S216" s="2"/>
      <c r="T216" s="2"/>
      <c r="U216" s="2"/>
      <c r="V216" s="2"/>
      <c r="W216" s="2"/>
      <c r="X216" s="2"/>
      <c r="Y216" s="2"/>
      <c r="Z216" s="2"/>
    </row>
    <row r="217" ht="15.75" customHeight="1">
      <c r="A217" s="1"/>
      <c r="B217" s="1"/>
      <c r="C217" s="1"/>
      <c r="D217" s="1"/>
      <c r="E217" s="1"/>
      <c r="F217" s="1"/>
      <c r="G217" s="1"/>
      <c r="H217" s="1"/>
      <c r="I217" s="1"/>
      <c r="J217" s="1"/>
      <c r="K217" s="1"/>
      <c r="L217" s="1"/>
      <c r="M217" s="1"/>
      <c r="N217" s="1"/>
      <c r="O217" s="1"/>
      <c r="P217" s="1"/>
      <c r="Q217" s="1"/>
      <c r="R217" s="2"/>
      <c r="S217" s="2"/>
      <c r="T217" s="2"/>
      <c r="U217" s="2"/>
      <c r="V217" s="2"/>
      <c r="W217" s="2"/>
      <c r="X217" s="2"/>
      <c r="Y217" s="2"/>
      <c r="Z217" s="2"/>
    </row>
    <row r="218" ht="15.75" customHeight="1">
      <c r="A218" s="1"/>
      <c r="B218" s="1"/>
      <c r="C218" s="1"/>
      <c r="D218" s="1"/>
      <c r="E218" s="1"/>
      <c r="F218" s="1"/>
      <c r="G218" s="1"/>
      <c r="H218" s="1"/>
      <c r="I218" s="1"/>
      <c r="J218" s="1"/>
      <c r="K218" s="1"/>
      <c r="L218" s="1"/>
      <c r="M218" s="1"/>
      <c r="N218" s="1"/>
      <c r="O218" s="1"/>
      <c r="P218" s="1"/>
      <c r="Q218" s="1"/>
      <c r="R218" s="2"/>
      <c r="S218" s="2"/>
      <c r="T218" s="2"/>
      <c r="U218" s="2"/>
      <c r="V218" s="2"/>
      <c r="W218" s="2"/>
      <c r="X218" s="2"/>
      <c r="Y218" s="2"/>
      <c r="Z218" s="2"/>
    </row>
    <row r="219" ht="15.75" customHeight="1">
      <c r="A219" s="1"/>
      <c r="B219" s="1"/>
      <c r="C219" s="1"/>
      <c r="D219" s="1"/>
      <c r="E219" s="1"/>
      <c r="F219" s="1"/>
      <c r="G219" s="1"/>
      <c r="H219" s="1"/>
      <c r="I219" s="1"/>
      <c r="J219" s="1"/>
      <c r="K219" s="1"/>
      <c r="L219" s="1"/>
      <c r="M219" s="1"/>
      <c r="N219" s="1"/>
      <c r="O219" s="1"/>
      <c r="P219" s="1"/>
      <c r="Q219" s="1"/>
      <c r="R219" s="2"/>
      <c r="S219" s="2"/>
      <c r="T219" s="2"/>
      <c r="U219" s="2"/>
      <c r="V219" s="2"/>
      <c r="W219" s="2"/>
      <c r="X219" s="2"/>
      <c r="Y219" s="2"/>
      <c r="Z219" s="2"/>
    </row>
    <row r="220" ht="15.75" customHeight="1">
      <c r="A220" s="1"/>
      <c r="B220" s="1"/>
      <c r="C220" s="1"/>
      <c r="D220" s="1"/>
      <c r="E220" s="1"/>
      <c r="F220" s="1"/>
      <c r="G220" s="1"/>
      <c r="H220" s="1"/>
      <c r="I220" s="1"/>
      <c r="J220" s="1"/>
      <c r="K220" s="1"/>
      <c r="L220" s="1"/>
      <c r="M220" s="1"/>
      <c r="N220" s="1"/>
      <c r="O220" s="1"/>
      <c r="P220" s="1"/>
      <c r="Q220" s="1"/>
      <c r="R220" s="2"/>
      <c r="S220" s="2"/>
      <c r="T220" s="2"/>
      <c r="U220" s="2"/>
      <c r="V220" s="2"/>
      <c r="W220" s="2"/>
      <c r="X220" s="2"/>
      <c r="Y220" s="2"/>
      <c r="Z220" s="2"/>
    </row>
    <row r="221" ht="15.75" customHeight="1">
      <c r="A221" s="1"/>
      <c r="B221" s="1"/>
      <c r="C221" s="1"/>
      <c r="D221" s="1"/>
      <c r="E221" s="1"/>
      <c r="F221" s="1"/>
      <c r="G221" s="1"/>
      <c r="H221" s="1"/>
      <c r="I221" s="1"/>
      <c r="J221" s="1"/>
      <c r="K221" s="1"/>
      <c r="L221" s="1"/>
      <c r="M221" s="1"/>
      <c r="N221" s="1"/>
      <c r="O221" s="1"/>
      <c r="P221" s="1"/>
      <c r="Q221" s="1"/>
      <c r="R221" s="2"/>
      <c r="S221" s="2"/>
      <c r="T221" s="2"/>
      <c r="U221" s="2"/>
      <c r="V221" s="2"/>
      <c r="W221" s="2"/>
      <c r="X221" s="2"/>
      <c r="Y221" s="2"/>
      <c r="Z221" s="2"/>
    </row>
    <row r="222" ht="15.75" customHeight="1">
      <c r="A222" s="1"/>
      <c r="B222" s="1"/>
      <c r="C222" s="1"/>
      <c r="D222" s="1"/>
      <c r="E222" s="1"/>
      <c r="F222" s="1"/>
      <c r="G222" s="1"/>
      <c r="H222" s="1"/>
      <c r="I222" s="1"/>
      <c r="J222" s="1"/>
      <c r="K222" s="1"/>
      <c r="L222" s="1"/>
      <c r="M222" s="1"/>
      <c r="N222" s="1"/>
      <c r="O222" s="1"/>
      <c r="P222" s="1"/>
      <c r="Q222" s="1"/>
      <c r="R222" s="2"/>
      <c r="S222" s="2"/>
      <c r="T222" s="2"/>
      <c r="U222" s="2"/>
      <c r="V222" s="2"/>
      <c r="W222" s="2"/>
      <c r="X222" s="2"/>
      <c r="Y222" s="2"/>
      <c r="Z222" s="2"/>
    </row>
    <row r="223" ht="15.75" customHeight="1">
      <c r="A223" s="1"/>
      <c r="B223" s="1"/>
      <c r="C223" s="1"/>
      <c r="D223" s="1"/>
      <c r="E223" s="1"/>
      <c r="F223" s="1"/>
      <c r="G223" s="1"/>
      <c r="H223" s="1"/>
      <c r="I223" s="1"/>
      <c r="J223" s="1"/>
      <c r="K223" s="1"/>
      <c r="L223" s="1"/>
      <c r="M223" s="1"/>
      <c r="N223" s="1"/>
      <c r="O223" s="1"/>
      <c r="P223" s="1"/>
      <c r="Q223" s="1"/>
      <c r="R223" s="2"/>
      <c r="S223" s="2"/>
      <c r="T223" s="2"/>
      <c r="U223" s="2"/>
      <c r="V223" s="2"/>
      <c r="W223" s="2"/>
      <c r="X223" s="2"/>
      <c r="Y223" s="2"/>
      <c r="Z223" s="2"/>
    </row>
    <row r="224" ht="15.75" customHeight="1">
      <c r="A224" s="1"/>
      <c r="B224" s="1"/>
      <c r="C224" s="1"/>
      <c r="D224" s="1"/>
      <c r="E224" s="1"/>
      <c r="F224" s="1"/>
      <c r="G224" s="1"/>
      <c r="H224" s="1"/>
      <c r="I224" s="1"/>
      <c r="J224" s="1"/>
      <c r="K224" s="1"/>
      <c r="L224" s="1"/>
      <c r="M224" s="1"/>
      <c r="N224" s="1"/>
      <c r="O224" s="1"/>
      <c r="P224" s="1"/>
      <c r="Q224" s="1"/>
      <c r="R224" s="2"/>
      <c r="S224" s="2"/>
      <c r="T224" s="2"/>
      <c r="U224" s="2"/>
      <c r="V224" s="2"/>
      <c r="W224" s="2"/>
      <c r="X224" s="2"/>
      <c r="Y224" s="2"/>
      <c r="Z224" s="2"/>
    </row>
    <row r="225" ht="15.75" customHeight="1">
      <c r="A225" s="1"/>
      <c r="B225" s="1"/>
      <c r="C225" s="1"/>
      <c r="D225" s="1"/>
      <c r="E225" s="1"/>
      <c r="F225" s="1"/>
      <c r="G225" s="1"/>
      <c r="H225" s="1"/>
      <c r="I225" s="1"/>
      <c r="J225" s="1"/>
      <c r="K225" s="1"/>
      <c r="L225" s="1"/>
      <c r="M225" s="1"/>
      <c r="N225" s="1"/>
      <c r="O225" s="1"/>
      <c r="P225" s="1"/>
      <c r="Q225" s="1"/>
      <c r="R225" s="2"/>
      <c r="S225" s="2"/>
      <c r="T225" s="2"/>
      <c r="U225" s="2"/>
      <c r="V225" s="2"/>
      <c r="W225" s="2"/>
      <c r="X225" s="2"/>
      <c r="Y225" s="2"/>
      <c r="Z225" s="2"/>
    </row>
    <row r="226" ht="15.75" customHeight="1">
      <c r="A226" s="1"/>
      <c r="B226" s="1"/>
      <c r="C226" s="1"/>
      <c r="D226" s="1"/>
      <c r="E226" s="1"/>
      <c r="F226" s="1"/>
      <c r="G226" s="1"/>
      <c r="H226" s="1"/>
      <c r="I226" s="1"/>
      <c r="J226" s="1"/>
      <c r="K226" s="1"/>
      <c r="L226" s="1"/>
      <c r="M226" s="1"/>
      <c r="N226" s="1"/>
      <c r="O226" s="1"/>
      <c r="P226" s="1"/>
      <c r="Q226" s="1"/>
      <c r="R226" s="2"/>
      <c r="S226" s="2"/>
      <c r="T226" s="2"/>
      <c r="U226" s="2"/>
      <c r="V226" s="2"/>
      <c r="W226" s="2"/>
      <c r="X226" s="2"/>
      <c r="Y226" s="2"/>
      <c r="Z226" s="2"/>
    </row>
    <row r="227" ht="15.75" customHeight="1">
      <c r="A227" s="1"/>
      <c r="B227" s="1"/>
      <c r="C227" s="1"/>
      <c r="D227" s="1"/>
      <c r="E227" s="1"/>
      <c r="F227" s="1"/>
      <c r="G227" s="1"/>
      <c r="H227" s="1"/>
      <c r="I227" s="1"/>
      <c r="J227" s="1"/>
      <c r="K227" s="1"/>
      <c r="L227" s="1"/>
      <c r="M227" s="1"/>
      <c r="N227" s="1"/>
      <c r="O227" s="1"/>
      <c r="P227" s="1"/>
      <c r="Q227" s="1"/>
      <c r="R227" s="2"/>
      <c r="S227" s="2"/>
      <c r="T227" s="2"/>
      <c r="U227" s="2"/>
      <c r="V227" s="2"/>
      <c r="W227" s="2"/>
      <c r="X227" s="2"/>
      <c r="Y227" s="2"/>
      <c r="Z227" s="2"/>
    </row>
    <row r="228" ht="15.75" customHeight="1">
      <c r="A228" s="1"/>
      <c r="B228" s="1"/>
      <c r="C228" s="1"/>
      <c r="D228" s="1"/>
      <c r="E228" s="1"/>
      <c r="F228" s="1"/>
      <c r="G228" s="1"/>
      <c r="H228" s="1"/>
      <c r="I228" s="1"/>
      <c r="J228" s="1"/>
      <c r="K228" s="1"/>
      <c r="L228" s="1"/>
      <c r="M228" s="1"/>
      <c r="N228" s="1"/>
      <c r="O228" s="1"/>
      <c r="P228" s="1"/>
      <c r="Q228" s="1"/>
      <c r="R228" s="2"/>
      <c r="S228" s="2"/>
      <c r="T228" s="2"/>
      <c r="U228" s="2"/>
      <c r="V228" s="2"/>
      <c r="W228" s="2"/>
      <c r="X228" s="2"/>
      <c r="Y228" s="2"/>
      <c r="Z228" s="2"/>
    </row>
    <row r="229" ht="15.75" customHeight="1">
      <c r="A229" s="1"/>
      <c r="B229" s="1"/>
      <c r="C229" s="1"/>
      <c r="D229" s="1"/>
      <c r="E229" s="1"/>
      <c r="F229" s="1"/>
      <c r="G229" s="1"/>
      <c r="H229" s="1"/>
      <c r="I229" s="1"/>
      <c r="J229" s="1"/>
      <c r="K229" s="1"/>
      <c r="L229" s="1"/>
      <c r="M229" s="1"/>
      <c r="N229" s="1"/>
      <c r="O229" s="1"/>
      <c r="P229" s="1"/>
      <c r="Q229" s="1"/>
      <c r="R229" s="2"/>
      <c r="S229" s="2"/>
      <c r="T229" s="2"/>
      <c r="U229" s="2"/>
      <c r="V229" s="2"/>
      <c r="W229" s="2"/>
      <c r="X229" s="2"/>
      <c r="Y229" s="2"/>
      <c r="Z229" s="2"/>
    </row>
    <row r="230" ht="15.75" customHeight="1">
      <c r="A230" s="1"/>
      <c r="B230" s="1"/>
      <c r="C230" s="1"/>
      <c r="D230" s="1"/>
      <c r="E230" s="1"/>
      <c r="F230" s="1"/>
      <c r="G230" s="1"/>
      <c r="H230" s="1"/>
      <c r="I230" s="1"/>
      <c r="J230" s="1"/>
      <c r="K230" s="1"/>
      <c r="L230" s="1"/>
      <c r="M230" s="1"/>
      <c r="N230" s="1"/>
      <c r="O230" s="1"/>
      <c r="P230" s="1"/>
      <c r="Q230" s="1"/>
      <c r="R230" s="2"/>
      <c r="S230" s="2"/>
      <c r="T230" s="2"/>
      <c r="U230" s="2"/>
      <c r="V230" s="2"/>
      <c r="W230" s="2"/>
      <c r="X230" s="2"/>
      <c r="Y230" s="2"/>
      <c r="Z230" s="2"/>
    </row>
    <row r="231" ht="15.75" customHeight="1">
      <c r="A231" s="1"/>
      <c r="B231" s="1"/>
      <c r="C231" s="1"/>
      <c r="D231" s="1"/>
      <c r="E231" s="1"/>
      <c r="F231" s="1"/>
      <c r="G231" s="1"/>
      <c r="H231" s="1"/>
      <c r="I231" s="1"/>
      <c r="J231" s="1"/>
      <c r="K231" s="1"/>
      <c r="L231" s="1"/>
      <c r="M231" s="1"/>
      <c r="N231" s="1"/>
      <c r="O231" s="1"/>
      <c r="P231" s="1"/>
      <c r="Q231" s="1"/>
      <c r="R231" s="2"/>
      <c r="S231" s="2"/>
      <c r="T231" s="2"/>
      <c r="U231" s="2"/>
      <c r="V231" s="2"/>
      <c r="W231" s="2"/>
      <c r="X231" s="2"/>
      <c r="Y231" s="2"/>
      <c r="Z231" s="2"/>
    </row>
    <row r="232" ht="15.75" customHeight="1">
      <c r="A232" s="1"/>
      <c r="B232" s="1"/>
      <c r="C232" s="1"/>
      <c r="D232" s="1"/>
      <c r="E232" s="1"/>
      <c r="F232" s="1"/>
      <c r="G232" s="1"/>
      <c r="H232" s="1"/>
      <c r="I232" s="1"/>
      <c r="J232" s="1"/>
      <c r="K232" s="1"/>
      <c r="L232" s="1"/>
      <c r="M232" s="1"/>
      <c r="N232" s="1"/>
      <c r="O232" s="1"/>
      <c r="P232" s="1"/>
      <c r="Q232" s="1"/>
      <c r="R232" s="2"/>
      <c r="S232" s="2"/>
      <c r="T232" s="2"/>
      <c r="U232" s="2"/>
      <c r="V232" s="2"/>
      <c r="W232" s="2"/>
      <c r="X232" s="2"/>
      <c r="Y232" s="2"/>
      <c r="Z232" s="2"/>
    </row>
    <row r="233" ht="15.75" customHeight="1">
      <c r="A233" s="1"/>
      <c r="B233" s="1"/>
      <c r="C233" s="1"/>
      <c r="D233" s="1"/>
      <c r="E233" s="1"/>
      <c r="F233" s="1"/>
      <c r="G233" s="1"/>
      <c r="H233" s="1"/>
      <c r="I233" s="1"/>
      <c r="J233" s="1"/>
      <c r="K233" s="1"/>
      <c r="L233" s="1"/>
      <c r="M233" s="1"/>
      <c r="N233" s="1"/>
      <c r="O233" s="1"/>
      <c r="P233" s="1"/>
      <c r="Q233" s="1"/>
      <c r="R233" s="2"/>
      <c r="S233" s="2"/>
      <c r="T233" s="2"/>
      <c r="U233" s="2"/>
      <c r="V233" s="2"/>
      <c r="W233" s="2"/>
      <c r="X233" s="2"/>
      <c r="Y233" s="2"/>
      <c r="Z233" s="2"/>
    </row>
    <row r="234" ht="15.75" customHeight="1">
      <c r="A234" s="1"/>
      <c r="B234" s="1"/>
      <c r="C234" s="1"/>
      <c r="D234" s="1"/>
      <c r="E234" s="1"/>
      <c r="F234" s="1"/>
      <c r="G234" s="1"/>
      <c r="H234" s="1"/>
      <c r="I234" s="1"/>
      <c r="J234" s="1"/>
      <c r="K234" s="1"/>
      <c r="L234" s="1"/>
      <c r="M234" s="1"/>
      <c r="N234" s="1"/>
      <c r="O234" s="1"/>
      <c r="P234" s="1"/>
      <c r="Q234" s="1"/>
      <c r="R234" s="2"/>
      <c r="S234" s="2"/>
      <c r="T234" s="2"/>
      <c r="U234" s="2"/>
      <c r="V234" s="2"/>
      <c r="W234" s="2"/>
      <c r="X234" s="2"/>
      <c r="Y234" s="2"/>
      <c r="Z234" s="2"/>
    </row>
    <row r="235" ht="15.75" customHeight="1">
      <c r="A235" s="1"/>
      <c r="B235" s="1"/>
      <c r="C235" s="1"/>
      <c r="D235" s="1"/>
      <c r="E235" s="1"/>
      <c r="F235" s="1"/>
      <c r="G235" s="1"/>
      <c r="H235" s="1"/>
      <c r="I235" s="1"/>
      <c r="J235" s="1"/>
      <c r="K235" s="1"/>
      <c r="L235" s="1"/>
      <c r="M235" s="1"/>
      <c r="N235" s="1"/>
      <c r="O235" s="1"/>
      <c r="P235" s="1"/>
      <c r="Q235" s="1"/>
      <c r="R235" s="2"/>
      <c r="S235" s="2"/>
      <c r="T235" s="2"/>
      <c r="U235" s="2"/>
      <c r="V235" s="2"/>
      <c r="W235" s="2"/>
      <c r="X235" s="2"/>
      <c r="Y235" s="2"/>
      <c r="Z235" s="2"/>
    </row>
    <row r="236" ht="15.75" customHeight="1">
      <c r="A236" s="1"/>
      <c r="B236" s="1"/>
      <c r="C236" s="1"/>
      <c r="D236" s="1"/>
      <c r="E236" s="1"/>
      <c r="F236" s="1"/>
      <c r="G236" s="1"/>
      <c r="H236" s="1"/>
      <c r="I236" s="1"/>
      <c r="J236" s="1"/>
      <c r="K236" s="1"/>
      <c r="L236" s="1"/>
      <c r="M236" s="1"/>
      <c r="N236" s="1"/>
      <c r="O236" s="1"/>
      <c r="P236" s="1"/>
      <c r="Q236" s="1"/>
      <c r="R236" s="2"/>
      <c r="S236" s="2"/>
      <c r="T236" s="2"/>
      <c r="U236" s="2"/>
      <c r="V236" s="2"/>
      <c r="W236" s="2"/>
      <c r="X236" s="2"/>
      <c r="Y236" s="2"/>
      <c r="Z236" s="2"/>
    </row>
    <row r="237" ht="15.75" customHeight="1">
      <c r="A237" s="1"/>
      <c r="B237" s="1"/>
      <c r="C237" s="1"/>
      <c r="D237" s="1"/>
      <c r="E237" s="1"/>
      <c r="F237" s="1"/>
      <c r="G237" s="1"/>
      <c r="H237" s="1"/>
      <c r="I237" s="1"/>
      <c r="J237" s="1"/>
      <c r="K237" s="1"/>
      <c r="L237" s="1"/>
      <c r="M237" s="1"/>
      <c r="N237" s="1"/>
      <c r="O237" s="1"/>
      <c r="P237" s="1"/>
      <c r="Q237" s="1"/>
      <c r="R237" s="2"/>
      <c r="S237" s="2"/>
      <c r="T237" s="2"/>
      <c r="U237" s="2"/>
      <c r="V237" s="2"/>
      <c r="W237" s="2"/>
      <c r="X237" s="2"/>
      <c r="Y237" s="2"/>
      <c r="Z237" s="2"/>
    </row>
    <row r="238" ht="15.75" customHeight="1">
      <c r="A238" s="1"/>
      <c r="B238" s="1"/>
      <c r="C238" s="1"/>
      <c r="D238" s="1"/>
      <c r="E238" s="1"/>
      <c r="F238" s="1"/>
      <c r="G238" s="1"/>
      <c r="H238" s="1"/>
      <c r="I238" s="1"/>
      <c r="J238" s="1"/>
      <c r="K238" s="1"/>
      <c r="L238" s="1"/>
      <c r="M238" s="1"/>
      <c r="N238" s="1"/>
      <c r="O238" s="1"/>
      <c r="P238" s="1"/>
      <c r="Q238" s="1"/>
      <c r="R238" s="2"/>
      <c r="S238" s="2"/>
      <c r="T238" s="2"/>
      <c r="U238" s="2"/>
      <c r="V238" s="2"/>
      <c r="W238" s="2"/>
      <c r="X238" s="2"/>
      <c r="Y238" s="2"/>
      <c r="Z238" s="2"/>
    </row>
    <row r="239" ht="15.75" customHeight="1">
      <c r="A239" s="1"/>
      <c r="B239" s="1"/>
      <c r="C239" s="1"/>
      <c r="D239" s="1"/>
      <c r="E239" s="1"/>
      <c r="F239" s="1"/>
      <c r="G239" s="1"/>
      <c r="H239" s="1"/>
      <c r="I239" s="1"/>
      <c r="J239" s="1"/>
      <c r="K239" s="1"/>
      <c r="L239" s="1"/>
      <c r="M239" s="1"/>
      <c r="N239" s="1"/>
      <c r="O239" s="1"/>
      <c r="P239" s="1"/>
      <c r="Q239" s="1"/>
      <c r="R239" s="2"/>
      <c r="S239" s="2"/>
      <c r="T239" s="2"/>
      <c r="U239" s="2"/>
      <c r="V239" s="2"/>
      <c r="W239" s="2"/>
      <c r="X239" s="2"/>
      <c r="Y239" s="2"/>
      <c r="Z239" s="2"/>
    </row>
    <row r="240" ht="15.75" customHeight="1">
      <c r="A240" s="1"/>
      <c r="B240" s="1"/>
      <c r="C240" s="1"/>
      <c r="D240" s="1"/>
      <c r="E240" s="1"/>
      <c r="F240" s="1"/>
      <c r="G240" s="1"/>
      <c r="H240" s="1"/>
      <c r="I240" s="1"/>
      <c r="J240" s="1"/>
      <c r="K240" s="1"/>
      <c r="L240" s="1"/>
      <c r="M240" s="1"/>
      <c r="N240" s="1"/>
      <c r="O240" s="1"/>
      <c r="P240" s="1"/>
      <c r="Q240" s="1"/>
      <c r="R240" s="2"/>
      <c r="S240" s="2"/>
      <c r="T240" s="2"/>
      <c r="U240" s="2"/>
      <c r="V240" s="2"/>
      <c r="W240" s="2"/>
      <c r="X240" s="2"/>
      <c r="Y240" s="2"/>
      <c r="Z240" s="2"/>
    </row>
    <row r="241" ht="15.75" customHeight="1">
      <c r="A241" s="1"/>
      <c r="B241" s="1"/>
      <c r="C241" s="1"/>
      <c r="D241" s="1"/>
      <c r="E241" s="1"/>
      <c r="F241" s="1"/>
      <c r="G241" s="1"/>
      <c r="H241" s="1"/>
      <c r="I241" s="1"/>
      <c r="J241" s="1"/>
      <c r="K241" s="1"/>
      <c r="L241" s="1"/>
      <c r="M241" s="1"/>
      <c r="N241" s="1"/>
      <c r="O241" s="1"/>
      <c r="P241" s="1"/>
      <c r="Q241" s="1"/>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3.57"/>
    <col customWidth="1" min="2" max="2" width="15.0"/>
    <col customWidth="1" min="3" max="4" width="16.0"/>
    <col customWidth="1" min="5" max="5" width="15.0"/>
    <col customWidth="1" min="6" max="6" width="12.0"/>
    <col customWidth="1" min="7" max="7" width="13.0"/>
    <col customWidth="1" min="8" max="9" width="12.0"/>
  </cols>
  <sheetData>
    <row r="1" ht="30.0" customHeight="1">
      <c r="A1" s="65" t="s">
        <v>167</v>
      </c>
      <c r="B1" s="65" t="s">
        <v>193</v>
      </c>
      <c r="C1" s="65" t="s">
        <v>194</v>
      </c>
      <c r="D1" s="65" t="s">
        <v>195</v>
      </c>
      <c r="E1" s="65" t="s">
        <v>83</v>
      </c>
      <c r="F1" s="65" t="s">
        <v>84</v>
      </c>
      <c r="G1" s="65" t="s">
        <v>196</v>
      </c>
      <c r="H1" s="65" t="s">
        <v>168</v>
      </c>
      <c r="I1" s="65" t="s">
        <v>169</v>
      </c>
      <c r="J1" s="2"/>
      <c r="K1" s="2"/>
      <c r="L1" s="2"/>
      <c r="M1" s="2"/>
      <c r="N1" s="2"/>
      <c r="O1" s="2"/>
      <c r="P1" s="2"/>
      <c r="Q1" s="2"/>
      <c r="R1" s="2"/>
      <c r="S1" s="2"/>
      <c r="T1" s="2"/>
      <c r="U1" s="2"/>
      <c r="V1" s="2"/>
      <c r="W1" s="2"/>
      <c r="X1" s="2"/>
      <c r="Y1" s="2"/>
      <c r="Z1" s="2"/>
    </row>
    <row r="2" ht="15.0" customHeight="1">
      <c r="A2" s="75" t="s">
        <v>182</v>
      </c>
      <c r="B2" s="80">
        <f>SUMIFS('Monthly Data'!$F:$F,'Monthly Data'!$A:$A,A2)</f>
        <v>407600</v>
      </c>
      <c r="C2" s="84">
        <f>SUMIFS('Monthly Data'!$I:$I,'Monthly Data'!$A:$A,A2)</f>
        <v>20900</v>
      </c>
      <c r="D2" s="80">
        <f>SUMIFS('Monthly Data'!$K:$K,'Monthly Data'!$A:$A,A2)</f>
        <v>1358500</v>
      </c>
      <c r="E2" s="79">
        <f t="shared" ref="E2:E14" si="1">B2/C2</f>
        <v>19.50239234</v>
      </c>
      <c r="F2" s="81">
        <f t="shared" ref="F2:F14" si="2">B2/D2</f>
        <v>0.3000368053</v>
      </c>
      <c r="G2" s="82">
        <f t="shared" ref="G2:G14" si="3">D2/B2</f>
        <v>3.332924436</v>
      </c>
      <c r="H2" s="76">
        <v>0.85</v>
      </c>
      <c r="I2" s="75"/>
      <c r="J2" s="2"/>
      <c r="K2" s="2"/>
      <c r="L2" s="2"/>
      <c r="M2" s="2"/>
      <c r="N2" s="2"/>
      <c r="O2" s="2"/>
      <c r="P2" s="2"/>
      <c r="Q2" s="2"/>
      <c r="R2" s="2"/>
      <c r="S2" s="2"/>
      <c r="T2" s="2"/>
      <c r="U2" s="2"/>
      <c r="V2" s="2"/>
      <c r="W2" s="2"/>
      <c r="X2" s="2"/>
      <c r="Y2" s="2"/>
      <c r="Z2" s="2"/>
    </row>
    <row r="3" ht="15.0" customHeight="1">
      <c r="A3" s="75" t="s">
        <v>183</v>
      </c>
      <c r="B3" s="80">
        <f>SUMIFS('Monthly Data'!$F:$F,'Monthly Data'!$A:$A,A3)</f>
        <v>443000</v>
      </c>
      <c r="C3" s="84">
        <f>SUMIFS('Monthly Data'!$I:$I,'Monthly Data'!$A:$A,A3)</f>
        <v>22000</v>
      </c>
      <c r="D3" s="80">
        <f>SUMIFS('Monthly Data'!$K:$K,'Monthly Data'!$A:$A,A3)</f>
        <v>1430000</v>
      </c>
      <c r="E3" s="79">
        <f t="shared" si="1"/>
        <v>20.13636364</v>
      </c>
      <c r="F3" s="81">
        <f t="shared" si="2"/>
        <v>0.3097902098</v>
      </c>
      <c r="G3" s="82">
        <f t="shared" si="3"/>
        <v>3.227990971</v>
      </c>
      <c r="H3" s="76">
        <v>0.9</v>
      </c>
      <c r="I3" s="75"/>
      <c r="J3" s="2"/>
      <c r="K3" s="2"/>
      <c r="L3" s="2"/>
      <c r="M3" s="2"/>
      <c r="N3" s="2"/>
      <c r="O3" s="2"/>
      <c r="P3" s="2"/>
      <c r="Q3" s="2"/>
      <c r="R3" s="2"/>
      <c r="S3" s="2"/>
      <c r="T3" s="2"/>
      <c r="U3" s="2"/>
      <c r="V3" s="2"/>
      <c r="W3" s="2"/>
      <c r="X3" s="2"/>
      <c r="Y3" s="2"/>
      <c r="Z3" s="2"/>
    </row>
    <row r="4" ht="15.0" customHeight="1">
      <c r="A4" s="75" t="s">
        <v>184</v>
      </c>
      <c r="B4" s="80">
        <f>SUMIFS('Monthly Data'!$F:$F,'Monthly Data'!$A:$A,A4)</f>
        <v>489000</v>
      </c>
      <c r="C4" s="84">
        <f>SUMIFS('Monthly Data'!$I:$I,'Monthly Data'!$A:$A,A4)</f>
        <v>23150</v>
      </c>
      <c r="D4" s="80">
        <f>SUMIFS('Monthly Data'!$K:$K,'Monthly Data'!$A:$A,A4)</f>
        <v>1504750</v>
      </c>
      <c r="E4" s="79">
        <f t="shared" si="1"/>
        <v>21.12311015</v>
      </c>
      <c r="F4" s="81">
        <f t="shared" si="2"/>
        <v>0.3249709254</v>
      </c>
      <c r="G4" s="82">
        <f t="shared" si="3"/>
        <v>3.077198364</v>
      </c>
      <c r="H4" s="76">
        <v>0.95</v>
      </c>
      <c r="I4" s="75"/>
      <c r="J4" s="2"/>
      <c r="K4" s="2"/>
      <c r="L4" s="2"/>
      <c r="M4" s="2"/>
      <c r="N4" s="2"/>
      <c r="O4" s="2"/>
      <c r="P4" s="2"/>
      <c r="Q4" s="2"/>
      <c r="R4" s="2"/>
      <c r="S4" s="2"/>
      <c r="T4" s="2"/>
      <c r="U4" s="2"/>
      <c r="V4" s="2"/>
      <c r="W4" s="2"/>
      <c r="X4" s="2"/>
      <c r="Y4" s="2"/>
      <c r="Z4" s="2"/>
    </row>
    <row r="5" ht="15.0" customHeight="1">
      <c r="A5" s="75" t="s">
        <v>185</v>
      </c>
      <c r="B5" s="80">
        <f>SUMIFS('Monthly Data'!$F:$F,'Monthly Data'!$A:$A,A5)</f>
        <v>550400</v>
      </c>
      <c r="C5" s="84">
        <f>SUMIFS('Monthly Data'!$I:$I,'Monthly Data'!$A:$A,A5)</f>
        <v>25300</v>
      </c>
      <c r="D5" s="80">
        <f>SUMIFS('Monthly Data'!$K:$K,'Monthly Data'!$A:$A,A5)</f>
        <v>1644500</v>
      </c>
      <c r="E5" s="79">
        <f t="shared" si="1"/>
        <v>21.75494071</v>
      </c>
      <c r="F5" s="81">
        <f t="shared" si="2"/>
        <v>0.3346913956</v>
      </c>
      <c r="G5" s="82">
        <f t="shared" si="3"/>
        <v>2.987827035</v>
      </c>
      <c r="H5" s="76">
        <v>1.05</v>
      </c>
      <c r="I5" s="75"/>
      <c r="J5" s="2"/>
      <c r="K5" s="2"/>
      <c r="L5" s="2"/>
      <c r="M5" s="2"/>
      <c r="N5" s="2"/>
      <c r="O5" s="2"/>
      <c r="P5" s="2"/>
      <c r="Q5" s="2"/>
      <c r="R5" s="2"/>
      <c r="S5" s="2"/>
      <c r="T5" s="2"/>
      <c r="U5" s="2"/>
      <c r="V5" s="2"/>
      <c r="W5" s="2"/>
      <c r="X5" s="2"/>
      <c r="Y5" s="2"/>
      <c r="Z5" s="2"/>
    </row>
    <row r="6" ht="15.0" customHeight="1">
      <c r="A6" s="75" t="s">
        <v>186</v>
      </c>
      <c r="B6" s="80">
        <f>SUMIFS('Monthly Data'!$F:$F,'Monthly Data'!$A:$A,A6)</f>
        <v>662700</v>
      </c>
      <c r="C6" s="84">
        <f>SUMIFS('Monthly Data'!$I:$I,'Monthly Data'!$A:$A,A6)</f>
        <v>34400</v>
      </c>
      <c r="D6" s="80">
        <f>SUMIFS('Monthly Data'!$K:$K,'Monthly Data'!$A:$A,A6)</f>
        <v>2236000</v>
      </c>
      <c r="E6" s="79">
        <f t="shared" si="1"/>
        <v>19.26453488</v>
      </c>
      <c r="F6" s="81">
        <f t="shared" si="2"/>
        <v>0.2963774597</v>
      </c>
      <c r="G6" s="82">
        <f t="shared" si="3"/>
        <v>3.374075751</v>
      </c>
      <c r="H6" s="76">
        <v>1.5</v>
      </c>
      <c r="I6" s="75" t="s">
        <v>187</v>
      </c>
      <c r="J6" s="2"/>
      <c r="K6" s="2"/>
      <c r="L6" s="2"/>
      <c r="M6" s="2"/>
      <c r="N6" s="2"/>
      <c r="O6" s="2"/>
      <c r="P6" s="2"/>
      <c r="Q6" s="2"/>
      <c r="R6" s="2"/>
      <c r="S6" s="2"/>
      <c r="T6" s="2"/>
      <c r="U6" s="2"/>
      <c r="V6" s="2"/>
      <c r="W6" s="2"/>
      <c r="X6" s="2"/>
      <c r="Y6" s="2"/>
      <c r="Z6" s="2"/>
    </row>
    <row r="7" ht="15.0" customHeight="1">
      <c r="A7" s="75" t="s">
        <v>188</v>
      </c>
      <c r="B7" s="80">
        <f>SUMIFS('Monthly Data'!$F:$F,'Monthly Data'!$A:$A,A7)</f>
        <v>788000</v>
      </c>
      <c r="C7" s="84">
        <f>SUMIFS('Monthly Data'!$I:$I,'Monthly Data'!$A:$A,A7)</f>
        <v>38600</v>
      </c>
      <c r="D7" s="80">
        <f>SUMIFS('Monthly Data'!$K:$K,'Monthly Data'!$A:$A,A7)</f>
        <v>2509000</v>
      </c>
      <c r="E7" s="79">
        <f t="shared" si="1"/>
        <v>20.41450777</v>
      </c>
      <c r="F7" s="81">
        <f t="shared" si="2"/>
        <v>0.3140693503</v>
      </c>
      <c r="G7" s="82">
        <f t="shared" si="3"/>
        <v>3.184010152</v>
      </c>
      <c r="H7" s="76">
        <v>1.7</v>
      </c>
      <c r="I7" s="75" t="s">
        <v>189</v>
      </c>
      <c r="J7" s="2"/>
      <c r="K7" s="2"/>
      <c r="L7" s="2"/>
      <c r="M7" s="2"/>
      <c r="N7" s="2"/>
      <c r="O7" s="2"/>
      <c r="P7" s="2"/>
      <c r="Q7" s="2"/>
      <c r="R7" s="2"/>
      <c r="S7" s="2"/>
      <c r="T7" s="2"/>
      <c r="U7" s="2"/>
      <c r="V7" s="2"/>
      <c r="W7" s="2"/>
      <c r="X7" s="2"/>
      <c r="Y7" s="2"/>
      <c r="Z7" s="2"/>
    </row>
    <row r="8" ht="15.0" customHeight="1">
      <c r="A8" s="75" t="s">
        <v>190</v>
      </c>
      <c r="B8" s="80">
        <f>SUMIFS('Monthly Data'!$F:$F,'Monthly Data'!$A:$A,A8)</f>
        <v>643400</v>
      </c>
      <c r="C8" s="84">
        <f>SUMIFS('Monthly Data'!$I:$I,'Monthly Data'!$A:$A,A8)</f>
        <v>29200</v>
      </c>
      <c r="D8" s="80">
        <f>SUMIFS('Monthly Data'!$K:$K,'Monthly Data'!$A:$A,A8)</f>
        <v>1898000</v>
      </c>
      <c r="E8" s="79">
        <f t="shared" si="1"/>
        <v>22.03424658</v>
      </c>
      <c r="F8" s="81">
        <f t="shared" si="2"/>
        <v>0.3389884089</v>
      </c>
      <c r="G8" s="82">
        <f t="shared" si="3"/>
        <v>2.949953373</v>
      </c>
      <c r="H8" s="76">
        <v>1.2</v>
      </c>
      <c r="I8" s="75" t="s">
        <v>191</v>
      </c>
      <c r="J8" s="2"/>
      <c r="K8" s="2"/>
      <c r="L8" s="2"/>
      <c r="M8" s="2"/>
      <c r="N8" s="2"/>
      <c r="O8" s="2"/>
      <c r="P8" s="2"/>
      <c r="Q8" s="2"/>
      <c r="R8" s="2"/>
      <c r="S8" s="2"/>
      <c r="T8" s="2"/>
      <c r="U8" s="2"/>
      <c r="V8" s="2"/>
      <c r="W8" s="2"/>
      <c r="X8" s="2"/>
      <c r="Y8" s="2"/>
      <c r="Z8" s="2"/>
    </row>
    <row r="9" ht="15.0" customHeight="1">
      <c r="A9" s="75" t="s">
        <v>192</v>
      </c>
      <c r="B9" s="80">
        <f>SUMIFS('Monthly Data'!$F:$F,'Monthly Data'!$A:$A,A9)</f>
        <v>565600</v>
      </c>
      <c r="C9" s="84">
        <f>SUMIFS('Monthly Data'!$I:$I,'Monthly Data'!$A:$A,A9)</f>
        <v>24800</v>
      </c>
      <c r="D9" s="80">
        <f>SUMIFS('Monthly Data'!$K:$K,'Monthly Data'!$A:$A,A9)</f>
        <v>1612000</v>
      </c>
      <c r="E9" s="79">
        <f t="shared" si="1"/>
        <v>22.80645161</v>
      </c>
      <c r="F9" s="81">
        <f t="shared" si="2"/>
        <v>0.3508684864</v>
      </c>
      <c r="G9" s="82">
        <f t="shared" si="3"/>
        <v>2.850070721</v>
      </c>
      <c r="H9" s="76">
        <v>1.0</v>
      </c>
      <c r="I9" s="75"/>
      <c r="J9" s="2"/>
      <c r="K9" s="2"/>
      <c r="L9" s="2"/>
      <c r="M9" s="2"/>
      <c r="N9" s="2"/>
      <c r="O9" s="2"/>
      <c r="P9" s="2"/>
      <c r="Q9" s="2"/>
      <c r="R9" s="2"/>
      <c r="S9" s="2"/>
      <c r="T9" s="2"/>
      <c r="U9" s="2"/>
      <c r="V9" s="2"/>
      <c r="W9" s="2"/>
      <c r="X9" s="2"/>
      <c r="Y9" s="2"/>
      <c r="Z9" s="2"/>
    </row>
    <row r="10" ht="15.0" customHeight="1">
      <c r="A10" s="75" t="s">
        <v>177</v>
      </c>
      <c r="B10" s="80">
        <f>SUMIFS('Monthly Data'!$F:$F,'Monthly Data'!$A:$A,A10)</f>
        <v>644600</v>
      </c>
      <c r="C10" s="84">
        <f>SUMIFS('Monthly Data'!$I:$I,'Monthly Data'!$A:$A,A10)</f>
        <v>27750</v>
      </c>
      <c r="D10" s="80">
        <f>SUMIFS('Monthly Data'!$K:$K,'Monthly Data'!$A:$A,A10)</f>
        <v>1803750</v>
      </c>
      <c r="E10" s="79">
        <f t="shared" si="1"/>
        <v>23.22882883</v>
      </c>
      <c r="F10" s="81">
        <f t="shared" si="2"/>
        <v>0.3573665974</v>
      </c>
      <c r="G10" s="82">
        <f t="shared" si="3"/>
        <v>2.798246975</v>
      </c>
      <c r="H10" s="76">
        <v>1.0</v>
      </c>
      <c r="I10" s="75"/>
      <c r="J10" s="2"/>
      <c r="K10" s="2"/>
      <c r="L10" s="2"/>
      <c r="M10" s="2"/>
      <c r="N10" s="2"/>
      <c r="O10" s="2"/>
      <c r="P10" s="2"/>
      <c r="Q10" s="2"/>
      <c r="R10" s="2"/>
      <c r="S10" s="2"/>
      <c r="T10" s="2"/>
      <c r="U10" s="2"/>
      <c r="V10" s="2"/>
      <c r="W10" s="2"/>
      <c r="X10" s="2"/>
      <c r="Y10" s="2"/>
      <c r="Z10" s="2"/>
    </row>
    <row r="11" ht="15.0" customHeight="1">
      <c r="A11" s="75" t="s">
        <v>178</v>
      </c>
      <c r="B11" s="80">
        <f>SUMIFS('Monthly Data'!$F:$F,'Monthly Data'!$A:$A,A11)</f>
        <v>675400</v>
      </c>
      <c r="C11" s="84">
        <f>SUMIFS('Monthly Data'!$I:$I,'Monthly Data'!$A:$A,A11)</f>
        <v>28100</v>
      </c>
      <c r="D11" s="80">
        <f>SUMIFS('Monthly Data'!$K:$K,'Monthly Data'!$A:$A,A11)</f>
        <v>1826500</v>
      </c>
      <c r="E11" s="79">
        <f t="shared" si="1"/>
        <v>24.03558719</v>
      </c>
      <c r="F11" s="81">
        <f t="shared" si="2"/>
        <v>0.3697782644</v>
      </c>
      <c r="G11" s="82">
        <f t="shared" si="3"/>
        <v>2.704323364</v>
      </c>
      <c r="H11" s="76">
        <v>0.95</v>
      </c>
      <c r="I11" s="75"/>
      <c r="J11" s="2"/>
      <c r="K11" s="2"/>
      <c r="L11" s="2"/>
      <c r="M11" s="2"/>
      <c r="N11" s="2"/>
      <c r="O11" s="2"/>
      <c r="P11" s="2"/>
      <c r="Q11" s="2"/>
      <c r="R11" s="2"/>
      <c r="S11" s="2"/>
      <c r="T11" s="2"/>
      <c r="U11" s="2"/>
      <c r="V11" s="2"/>
      <c r="W11" s="2"/>
      <c r="X11" s="2"/>
      <c r="Y11" s="2"/>
      <c r="Z11" s="2"/>
    </row>
    <row r="12" ht="15.0" customHeight="1">
      <c r="A12" s="75" t="s">
        <v>179</v>
      </c>
      <c r="B12" s="80">
        <f>SUMIFS('Monthly Data'!$F:$F,'Monthly Data'!$A:$A,A12)</f>
        <v>723500</v>
      </c>
      <c r="C12" s="84">
        <f>SUMIFS('Monthly Data'!$I:$I,'Monthly Data'!$A:$A,A12)</f>
        <v>31700</v>
      </c>
      <c r="D12" s="80">
        <f>SUMIFS('Monthly Data'!$K:$K,'Monthly Data'!$A:$A,A12)</f>
        <v>2060500</v>
      </c>
      <c r="E12" s="79">
        <f t="shared" si="1"/>
        <v>22.82334385</v>
      </c>
      <c r="F12" s="81">
        <f t="shared" si="2"/>
        <v>0.3511283669</v>
      </c>
      <c r="G12" s="82">
        <f t="shared" si="3"/>
        <v>2.847961299</v>
      </c>
      <c r="H12" s="76">
        <v>1.05</v>
      </c>
      <c r="I12" s="75" t="s">
        <v>180</v>
      </c>
      <c r="J12" s="2"/>
      <c r="K12" s="2"/>
      <c r="L12" s="2"/>
      <c r="M12" s="2"/>
      <c r="N12" s="2"/>
      <c r="O12" s="2"/>
      <c r="P12" s="2"/>
      <c r="Q12" s="2"/>
      <c r="R12" s="2"/>
      <c r="S12" s="2"/>
      <c r="T12" s="2"/>
      <c r="U12" s="2"/>
      <c r="V12" s="2"/>
      <c r="W12" s="2"/>
      <c r="X12" s="2"/>
      <c r="Y12" s="2"/>
      <c r="Z12" s="2"/>
    </row>
    <row r="13" ht="15.0" customHeight="1">
      <c r="A13" s="75" t="s">
        <v>181</v>
      </c>
      <c r="B13" s="80">
        <f>SUMIFS('Monthly Data'!$F:$F,'Monthly Data'!$A:$A,A13)</f>
        <v>698300</v>
      </c>
      <c r="C13" s="84">
        <f>SUMIFS('Monthly Data'!$I:$I,'Monthly Data'!$A:$A,A13)</f>
        <v>29450</v>
      </c>
      <c r="D13" s="80">
        <f>SUMIFS('Monthly Data'!$K:$K,'Monthly Data'!$A:$A,A13)</f>
        <v>1914250</v>
      </c>
      <c r="E13" s="79">
        <f t="shared" si="1"/>
        <v>23.71137521</v>
      </c>
      <c r="F13" s="81">
        <f t="shared" si="2"/>
        <v>0.3647903879</v>
      </c>
      <c r="G13" s="82">
        <f t="shared" si="3"/>
        <v>2.741300301</v>
      </c>
      <c r="H13" s="76">
        <v>0.9</v>
      </c>
      <c r="I13" s="75"/>
      <c r="J13" s="2"/>
      <c r="K13" s="2"/>
      <c r="L13" s="2"/>
      <c r="M13" s="2"/>
      <c r="N13" s="2"/>
      <c r="O13" s="2"/>
      <c r="P13" s="2"/>
      <c r="Q13" s="2"/>
      <c r="R13" s="2"/>
      <c r="S13" s="2"/>
      <c r="T13" s="2"/>
      <c r="U13" s="2"/>
      <c r="V13" s="2"/>
      <c r="W13" s="2"/>
      <c r="X13" s="2"/>
      <c r="Y13" s="2"/>
      <c r="Z13" s="2"/>
    </row>
    <row r="14" ht="15.0" customHeight="1">
      <c r="A14" s="85" t="s">
        <v>197</v>
      </c>
      <c r="B14" s="86">
        <f t="shared" ref="B14:D14" si="4">SUM(B2:B13)</f>
        <v>7291500</v>
      </c>
      <c r="C14" s="87">
        <f t="shared" si="4"/>
        <v>335350</v>
      </c>
      <c r="D14" s="86">
        <f t="shared" si="4"/>
        <v>21797750</v>
      </c>
      <c r="E14" s="88">
        <f t="shared" si="1"/>
        <v>21.74295512</v>
      </c>
      <c r="F14" s="89">
        <f t="shared" si="2"/>
        <v>0.3345070019</v>
      </c>
      <c r="G14" s="90">
        <f t="shared" si="3"/>
        <v>2.989474045</v>
      </c>
      <c r="H14" s="91"/>
      <c r="I14" s="91"/>
      <c r="J14" s="2"/>
      <c r="K14" s="2"/>
      <c r="L14" s="2"/>
      <c r="M14" s="2"/>
      <c r="N14" s="2"/>
      <c r="O14" s="2"/>
      <c r="P14" s="2"/>
      <c r="Q14" s="2"/>
      <c r="R14" s="2"/>
      <c r="S14" s="2"/>
      <c r="T14" s="2"/>
      <c r="U14" s="2"/>
      <c r="V14" s="2"/>
      <c r="W14" s="2"/>
      <c r="X14" s="2"/>
      <c r="Y14" s="2"/>
      <c r="Z14" s="2"/>
    </row>
    <row r="15">
      <c r="A15" s="1"/>
      <c r="B15" s="1"/>
      <c r="C15" s="1"/>
      <c r="D15" s="1"/>
      <c r="E15" s="1"/>
      <c r="F15" s="1"/>
      <c r="G15" s="1"/>
      <c r="H15" s="1"/>
      <c r="I15" s="1"/>
      <c r="J15" s="2"/>
      <c r="K15" s="2"/>
      <c r="L15" s="2"/>
      <c r="M15" s="2"/>
      <c r="N15" s="2"/>
      <c r="O15" s="2"/>
      <c r="P15" s="2"/>
      <c r="Q15" s="2"/>
      <c r="R15" s="2"/>
      <c r="S15" s="2"/>
      <c r="T15" s="2"/>
      <c r="U15" s="2"/>
      <c r="V15" s="2"/>
      <c r="W15" s="2"/>
      <c r="X15" s="2"/>
      <c r="Y15" s="2"/>
      <c r="Z15" s="2"/>
    </row>
    <row r="16">
      <c r="A16" s="1"/>
      <c r="B16" s="1"/>
      <c r="C16" s="1"/>
      <c r="D16" s="1"/>
      <c r="E16" s="1"/>
      <c r="F16" s="1"/>
      <c r="G16" s="1"/>
      <c r="H16" s="1"/>
      <c r="I16" s="1"/>
      <c r="J16" s="2"/>
      <c r="K16" s="2"/>
      <c r="L16" s="2"/>
      <c r="M16" s="2"/>
      <c r="N16" s="2"/>
      <c r="O16" s="2"/>
      <c r="P16" s="2"/>
      <c r="Q16" s="2"/>
      <c r="R16" s="2"/>
      <c r="S16" s="2"/>
      <c r="T16" s="2"/>
      <c r="U16" s="2"/>
      <c r="V16" s="2"/>
      <c r="W16" s="2"/>
      <c r="X16" s="2"/>
      <c r="Y16" s="2"/>
      <c r="Z16" s="2"/>
    </row>
    <row r="17">
      <c r="A17" s="1"/>
      <c r="B17" s="1"/>
      <c r="C17" s="1"/>
      <c r="D17" s="1"/>
      <c r="E17" s="1"/>
      <c r="F17" s="1"/>
      <c r="G17" s="1"/>
      <c r="H17" s="1"/>
      <c r="I17" s="1"/>
      <c r="J17" s="2"/>
      <c r="K17" s="2"/>
      <c r="L17" s="2"/>
      <c r="M17" s="2"/>
      <c r="N17" s="2"/>
      <c r="O17" s="2"/>
      <c r="P17" s="2"/>
      <c r="Q17" s="2"/>
      <c r="R17" s="2"/>
      <c r="S17" s="2"/>
      <c r="T17" s="2"/>
      <c r="U17" s="2"/>
      <c r="V17" s="2"/>
      <c r="W17" s="2"/>
      <c r="X17" s="2"/>
      <c r="Y17" s="2"/>
      <c r="Z17" s="2"/>
    </row>
    <row r="18">
      <c r="A18" s="1"/>
      <c r="B18" s="1"/>
      <c r="C18" s="1"/>
      <c r="D18" s="1"/>
      <c r="E18" s="1"/>
      <c r="F18" s="1"/>
      <c r="G18" s="1"/>
      <c r="H18" s="1"/>
      <c r="I18" s="1"/>
      <c r="J18" s="2"/>
      <c r="K18" s="2"/>
      <c r="L18" s="2"/>
      <c r="M18" s="2"/>
      <c r="N18" s="2"/>
      <c r="O18" s="2"/>
      <c r="P18" s="2"/>
      <c r="Q18" s="2"/>
      <c r="R18" s="2"/>
      <c r="S18" s="2"/>
      <c r="T18" s="2"/>
      <c r="U18" s="2"/>
      <c r="V18" s="2"/>
      <c r="W18" s="2"/>
      <c r="X18" s="2"/>
      <c r="Y18" s="2"/>
      <c r="Z18" s="2"/>
    </row>
    <row r="19">
      <c r="A19" s="1"/>
      <c r="B19" s="1"/>
      <c r="C19" s="1"/>
      <c r="D19" s="1"/>
      <c r="E19" s="1"/>
      <c r="F19" s="1"/>
      <c r="G19" s="1"/>
      <c r="H19" s="1"/>
      <c r="I19" s="1"/>
      <c r="J19" s="2"/>
      <c r="K19" s="2"/>
      <c r="L19" s="2"/>
      <c r="M19" s="2"/>
      <c r="N19" s="2"/>
      <c r="O19" s="2"/>
      <c r="P19" s="2"/>
      <c r="Q19" s="2"/>
      <c r="R19" s="2"/>
      <c r="S19" s="2"/>
      <c r="T19" s="2"/>
      <c r="U19" s="2"/>
      <c r="V19" s="2"/>
      <c r="W19" s="2"/>
      <c r="X19" s="2"/>
      <c r="Y19" s="2"/>
      <c r="Z19" s="2"/>
    </row>
    <row r="20">
      <c r="A20" s="1"/>
      <c r="B20" s="1"/>
      <c r="C20" s="1"/>
      <c r="D20" s="1"/>
      <c r="E20" s="1"/>
      <c r="F20" s="1"/>
      <c r="G20" s="1"/>
      <c r="H20" s="1"/>
      <c r="I20" s="1"/>
      <c r="J20" s="2"/>
      <c r="K20" s="2"/>
      <c r="L20" s="2"/>
      <c r="M20" s="2"/>
      <c r="N20" s="2"/>
      <c r="O20" s="2"/>
      <c r="P20" s="2"/>
      <c r="Q20" s="2"/>
      <c r="R20" s="2"/>
      <c r="S20" s="2"/>
      <c r="T20" s="2"/>
      <c r="U20" s="2"/>
      <c r="V20" s="2"/>
      <c r="W20" s="2"/>
      <c r="X20" s="2"/>
      <c r="Y20" s="2"/>
      <c r="Z20" s="2"/>
    </row>
    <row r="21" ht="15.75" customHeight="1">
      <c r="A21" s="1"/>
      <c r="B21" s="1"/>
      <c r="C21" s="1"/>
      <c r="D21" s="1"/>
      <c r="E21" s="1"/>
      <c r="F21" s="1"/>
      <c r="G21" s="1"/>
      <c r="H21" s="1"/>
      <c r="I21" s="1"/>
      <c r="J21" s="2"/>
      <c r="K21" s="2"/>
      <c r="L21" s="2"/>
      <c r="M21" s="2"/>
      <c r="N21" s="2"/>
      <c r="O21" s="2"/>
      <c r="P21" s="2"/>
      <c r="Q21" s="2"/>
      <c r="R21" s="2"/>
      <c r="S21" s="2"/>
      <c r="T21" s="2"/>
      <c r="U21" s="2"/>
      <c r="V21" s="2"/>
      <c r="W21" s="2"/>
      <c r="X21" s="2"/>
      <c r="Y21" s="2"/>
      <c r="Z21" s="2"/>
    </row>
    <row r="22" ht="15.75" customHeight="1">
      <c r="A22" s="1"/>
      <c r="B22" s="1"/>
      <c r="C22" s="1"/>
      <c r="D22" s="1"/>
      <c r="E22" s="1"/>
      <c r="F22" s="1"/>
      <c r="G22" s="1"/>
      <c r="H22" s="1"/>
      <c r="I22" s="1"/>
      <c r="J22" s="2"/>
      <c r="K22" s="2"/>
      <c r="L22" s="2"/>
      <c r="M22" s="2"/>
      <c r="N22" s="2"/>
      <c r="O22" s="2"/>
      <c r="P22" s="2"/>
      <c r="Q22" s="2"/>
      <c r="R22" s="2"/>
      <c r="S22" s="2"/>
      <c r="T22" s="2"/>
      <c r="U22" s="2"/>
      <c r="V22" s="2"/>
      <c r="W22" s="2"/>
      <c r="X22" s="2"/>
      <c r="Y22" s="2"/>
      <c r="Z22" s="2"/>
    </row>
    <row r="23" ht="15.75" customHeight="1">
      <c r="A23" s="1"/>
      <c r="B23" s="1"/>
      <c r="C23" s="1"/>
      <c r="D23" s="1"/>
      <c r="E23" s="1"/>
      <c r="F23" s="1"/>
      <c r="G23" s="1"/>
      <c r="H23" s="1"/>
      <c r="I23" s="1"/>
      <c r="J23" s="2"/>
      <c r="K23" s="2"/>
      <c r="L23" s="2"/>
      <c r="M23" s="2"/>
      <c r="N23" s="2"/>
      <c r="O23" s="2"/>
      <c r="P23" s="2"/>
      <c r="Q23" s="2"/>
      <c r="R23" s="2"/>
      <c r="S23" s="2"/>
      <c r="T23" s="2"/>
      <c r="U23" s="2"/>
      <c r="V23" s="2"/>
      <c r="W23" s="2"/>
      <c r="X23" s="2"/>
      <c r="Y23" s="2"/>
      <c r="Z23" s="2"/>
    </row>
    <row r="24" ht="15.75" customHeight="1">
      <c r="A24" s="1"/>
      <c r="B24" s="1"/>
      <c r="C24" s="1"/>
      <c r="D24" s="1"/>
      <c r="E24" s="1"/>
      <c r="F24" s="1"/>
      <c r="G24" s="1"/>
      <c r="H24" s="1"/>
      <c r="I24" s="1"/>
      <c r="J24" s="2"/>
      <c r="K24" s="2"/>
      <c r="L24" s="2"/>
      <c r="M24" s="2"/>
      <c r="N24" s="2"/>
      <c r="O24" s="2"/>
      <c r="P24" s="2"/>
      <c r="Q24" s="2"/>
      <c r="R24" s="2"/>
      <c r="S24" s="2"/>
      <c r="T24" s="2"/>
      <c r="U24" s="2"/>
      <c r="V24" s="2"/>
      <c r="W24" s="2"/>
      <c r="X24" s="2"/>
      <c r="Y24" s="2"/>
      <c r="Z24" s="2"/>
    </row>
    <row r="25" ht="15.75" customHeight="1">
      <c r="A25" s="1"/>
      <c r="B25" s="1"/>
      <c r="C25" s="1"/>
      <c r="D25" s="1"/>
      <c r="E25" s="1"/>
      <c r="F25" s="1"/>
      <c r="G25" s="1"/>
      <c r="H25" s="1"/>
      <c r="I25" s="1"/>
      <c r="J25" s="2"/>
      <c r="K25" s="2"/>
      <c r="L25" s="2"/>
      <c r="M25" s="2"/>
      <c r="N25" s="2"/>
      <c r="O25" s="2"/>
      <c r="P25" s="2"/>
      <c r="Q25" s="2"/>
      <c r="R25" s="2"/>
      <c r="S25" s="2"/>
      <c r="T25" s="2"/>
      <c r="U25" s="2"/>
      <c r="V25" s="2"/>
      <c r="W25" s="2"/>
      <c r="X25" s="2"/>
      <c r="Y25" s="2"/>
      <c r="Z25" s="2"/>
    </row>
    <row r="26" ht="15.75" customHeight="1">
      <c r="A26" s="1"/>
      <c r="B26" s="1"/>
      <c r="C26" s="1"/>
      <c r="D26" s="1"/>
      <c r="E26" s="1"/>
      <c r="F26" s="1"/>
      <c r="G26" s="1"/>
      <c r="H26" s="1"/>
      <c r="I26" s="1"/>
      <c r="J26" s="2"/>
      <c r="K26" s="2"/>
      <c r="L26" s="2"/>
      <c r="M26" s="2"/>
      <c r="N26" s="2"/>
      <c r="O26" s="2"/>
      <c r="P26" s="2"/>
      <c r="Q26" s="2"/>
      <c r="R26" s="2"/>
      <c r="S26" s="2"/>
      <c r="T26" s="2"/>
      <c r="U26" s="2"/>
      <c r="V26" s="2"/>
      <c r="W26" s="2"/>
      <c r="X26" s="2"/>
      <c r="Y26" s="2"/>
      <c r="Z26" s="2"/>
    </row>
    <row r="27" ht="15.75" customHeight="1">
      <c r="A27" s="1"/>
      <c r="B27" s="1"/>
      <c r="C27" s="1"/>
      <c r="D27" s="1"/>
      <c r="E27" s="1"/>
      <c r="F27" s="1"/>
      <c r="G27" s="1"/>
      <c r="H27" s="1"/>
      <c r="I27" s="1"/>
      <c r="J27" s="2"/>
      <c r="K27" s="2"/>
      <c r="L27" s="2"/>
      <c r="M27" s="2"/>
      <c r="N27" s="2"/>
      <c r="O27" s="2"/>
      <c r="P27" s="2"/>
      <c r="Q27" s="2"/>
      <c r="R27" s="2"/>
      <c r="S27" s="2"/>
      <c r="T27" s="2"/>
      <c r="U27" s="2"/>
      <c r="V27" s="2"/>
      <c r="W27" s="2"/>
      <c r="X27" s="2"/>
      <c r="Y27" s="2"/>
      <c r="Z27" s="2"/>
    </row>
    <row r="28" ht="15.75" customHeight="1">
      <c r="A28" s="1"/>
      <c r="B28" s="1"/>
      <c r="C28" s="1"/>
      <c r="D28" s="1"/>
      <c r="E28" s="1"/>
      <c r="F28" s="1"/>
      <c r="G28" s="1"/>
      <c r="H28" s="1"/>
      <c r="I28" s="1"/>
      <c r="J28" s="2"/>
      <c r="K28" s="2"/>
      <c r="L28" s="2"/>
      <c r="M28" s="2"/>
      <c r="N28" s="2"/>
      <c r="O28" s="2"/>
      <c r="P28" s="2"/>
      <c r="Q28" s="2"/>
      <c r="R28" s="2"/>
      <c r="S28" s="2"/>
      <c r="T28" s="2"/>
      <c r="U28" s="2"/>
      <c r="V28" s="2"/>
      <c r="W28" s="2"/>
      <c r="X28" s="2"/>
      <c r="Y28" s="2"/>
      <c r="Z28" s="2"/>
    </row>
    <row r="29" ht="15.75" customHeight="1">
      <c r="A29" s="1"/>
      <c r="B29" s="1"/>
      <c r="C29" s="1"/>
      <c r="D29" s="1"/>
      <c r="E29" s="1"/>
      <c r="F29" s="1"/>
      <c r="G29" s="1"/>
      <c r="H29" s="1"/>
      <c r="I29" s="1"/>
      <c r="J29" s="2"/>
      <c r="K29" s="2"/>
      <c r="L29" s="2"/>
      <c r="M29" s="2"/>
      <c r="N29" s="2"/>
      <c r="O29" s="2"/>
      <c r="P29" s="2"/>
      <c r="Q29" s="2"/>
      <c r="R29" s="2"/>
      <c r="S29" s="2"/>
      <c r="T29" s="2"/>
      <c r="U29" s="2"/>
      <c r="V29" s="2"/>
      <c r="W29" s="2"/>
      <c r="X29" s="2"/>
      <c r="Y29" s="2"/>
      <c r="Z29" s="2"/>
    </row>
    <row r="30" ht="15.75" customHeight="1">
      <c r="A30" s="1"/>
      <c r="B30" s="1"/>
      <c r="C30" s="1"/>
      <c r="D30" s="1"/>
      <c r="E30" s="1"/>
      <c r="F30" s="1"/>
      <c r="G30" s="1"/>
      <c r="H30" s="1"/>
      <c r="I30" s="1"/>
      <c r="J30" s="2"/>
      <c r="K30" s="2"/>
      <c r="L30" s="2"/>
      <c r="M30" s="2"/>
      <c r="N30" s="2"/>
      <c r="O30" s="2"/>
      <c r="P30" s="2"/>
      <c r="Q30" s="2"/>
      <c r="R30" s="2"/>
      <c r="S30" s="2"/>
      <c r="T30" s="2"/>
      <c r="U30" s="2"/>
      <c r="V30" s="2"/>
      <c r="W30" s="2"/>
      <c r="X30" s="2"/>
      <c r="Y30" s="2"/>
      <c r="Z30" s="2"/>
    </row>
    <row r="31" ht="15.75" customHeight="1">
      <c r="A31" s="1"/>
      <c r="B31" s="1"/>
      <c r="C31" s="1"/>
      <c r="D31" s="1"/>
      <c r="E31" s="1"/>
      <c r="F31" s="1"/>
      <c r="G31" s="1"/>
      <c r="H31" s="1"/>
      <c r="I31" s="1"/>
      <c r="J31" s="2"/>
      <c r="K31" s="2"/>
      <c r="L31" s="2"/>
      <c r="M31" s="2"/>
      <c r="N31" s="2"/>
      <c r="O31" s="2"/>
      <c r="P31" s="2"/>
      <c r="Q31" s="2"/>
      <c r="R31" s="2"/>
      <c r="S31" s="2"/>
      <c r="T31" s="2"/>
      <c r="U31" s="2"/>
      <c r="V31" s="2"/>
      <c r="W31" s="2"/>
      <c r="X31" s="2"/>
      <c r="Y31" s="2"/>
      <c r="Z31" s="2"/>
    </row>
    <row r="32" ht="15.75" customHeight="1">
      <c r="A32" s="1"/>
      <c r="B32" s="1"/>
      <c r="C32" s="1"/>
      <c r="D32" s="1"/>
      <c r="E32" s="1"/>
      <c r="F32" s="1"/>
      <c r="G32" s="1"/>
      <c r="H32" s="1"/>
      <c r="I32" s="1"/>
      <c r="J32" s="2"/>
      <c r="K32" s="2"/>
      <c r="L32" s="2"/>
      <c r="M32" s="2"/>
      <c r="N32" s="2"/>
      <c r="O32" s="2"/>
      <c r="P32" s="2"/>
      <c r="Q32" s="2"/>
      <c r="R32" s="2"/>
      <c r="S32" s="2"/>
      <c r="T32" s="2"/>
      <c r="U32" s="2"/>
      <c r="V32" s="2"/>
      <c r="W32" s="2"/>
      <c r="X32" s="2"/>
      <c r="Y32" s="2"/>
      <c r="Z32" s="2"/>
    </row>
    <row r="33" ht="15.75" customHeight="1">
      <c r="A33" s="1"/>
      <c r="B33" s="1"/>
      <c r="C33" s="1"/>
      <c r="D33" s="1"/>
      <c r="E33" s="1"/>
      <c r="F33" s="1"/>
      <c r="G33" s="1"/>
      <c r="H33" s="1"/>
      <c r="I33" s="1"/>
      <c r="J33" s="2"/>
      <c r="K33" s="2"/>
      <c r="L33" s="2"/>
      <c r="M33" s="2"/>
      <c r="N33" s="2"/>
      <c r="O33" s="2"/>
      <c r="P33" s="2"/>
      <c r="Q33" s="2"/>
      <c r="R33" s="2"/>
      <c r="S33" s="2"/>
      <c r="T33" s="2"/>
      <c r="U33" s="2"/>
      <c r="V33" s="2"/>
      <c r="W33" s="2"/>
      <c r="X33" s="2"/>
      <c r="Y33" s="2"/>
      <c r="Z33" s="2"/>
    </row>
    <row r="34" ht="15.75" customHeight="1">
      <c r="A34" s="1"/>
      <c r="B34" s="1"/>
      <c r="C34" s="1"/>
      <c r="D34" s="1"/>
      <c r="E34" s="1"/>
      <c r="F34" s="1"/>
      <c r="G34" s="1"/>
      <c r="H34" s="1"/>
      <c r="I34" s="1"/>
      <c r="J34" s="2"/>
      <c r="K34" s="2"/>
      <c r="L34" s="2"/>
      <c r="M34" s="2"/>
      <c r="N34" s="2"/>
      <c r="O34" s="2"/>
      <c r="P34" s="2"/>
      <c r="Q34" s="2"/>
      <c r="R34" s="2"/>
      <c r="S34" s="2"/>
      <c r="T34" s="2"/>
      <c r="U34" s="2"/>
      <c r="V34" s="2"/>
      <c r="W34" s="2"/>
      <c r="X34" s="2"/>
      <c r="Y34" s="2"/>
      <c r="Z34" s="2"/>
    </row>
    <row r="35" ht="15.75" customHeight="1">
      <c r="A35" s="1"/>
      <c r="B35" s="1"/>
      <c r="C35" s="1"/>
      <c r="D35" s="1"/>
      <c r="E35" s="1"/>
      <c r="F35" s="1"/>
      <c r="G35" s="1"/>
      <c r="H35" s="1"/>
      <c r="I35" s="1"/>
      <c r="J35" s="2"/>
      <c r="K35" s="2"/>
      <c r="L35" s="2"/>
      <c r="M35" s="2"/>
      <c r="N35" s="2"/>
      <c r="O35" s="2"/>
      <c r="P35" s="2"/>
      <c r="Q35" s="2"/>
      <c r="R35" s="2"/>
      <c r="S35" s="2"/>
      <c r="T35" s="2"/>
      <c r="U35" s="2"/>
      <c r="V35" s="2"/>
      <c r="W35" s="2"/>
      <c r="X35" s="2"/>
      <c r="Y35" s="2"/>
      <c r="Z35" s="2"/>
    </row>
    <row r="36" ht="15.75" customHeight="1">
      <c r="A36" s="1"/>
      <c r="B36" s="1"/>
      <c r="C36" s="1"/>
      <c r="D36" s="1"/>
      <c r="E36" s="1"/>
      <c r="F36" s="1"/>
      <c r="G36" s="1"/>
      <c r="H36" s="1"/>
      <c r="I36" s="1"/>
      <c r="J36" s="2"/>
      <c r="K36" s="2"/>
      <c r="L36" s="2"/>
      <c r="M36" s="2"/>
      <c r="N36" s="2"/>
      <c r="O36" s="2"/>
      <c r="P36" s="2"/>
      <c r="Q36" s="2"/>
      <c r="R36" s="2"/>
      <c r="S36" s="2"/>
      <c r="T36" s="2"/>
      <c r="U36" s="2"/>
      <c r="V36" s="2"/>
      <c r="W36" s="2"/>
      <c r="X36" s="2"/>
      <c r="Y36" s="2"/>
      <c r="Z36" s="2"/>
    </row>
    <row r="37" ht="15.75" customHeight="1">
      <c r="A37" s="1"/>
      <c r="B37" s="1"/>
      <c r="C37" s="1"/>
      <c r="D37" s="1"/>
      <c r="E37" s="1"/>
      <c r="F37" s="1"/>
      <c r="G37" s="1"/>
      <c r="H37" s="1"/>
      <c r="I37" s="1"/>
      <c r="J37" s="2"/>
      <c r="K37" s="2"/>
      <c r="L37" s="2"/>
      <c r="M37" s="2"/>
      <c r="N37" s="2"/>
      <c r="O37" s="2"/>
      <c r="P37" s="2"/>
      <c r="Q37" s="2"/>
      <c r="R37" s="2"/>
      <c r="S37" s="2"/>
      <c r="T37" s="2"/>
      <c r="U37" s="2"/>
      <c r="V37" s="2"/>
      <c r="W37" s="2"/>
      <c r="X37" s="2"/>
      <c r="Y37" s="2"/>
      <c r="Z37" s="2"/>
    </row>
    <row r="38" ht="15.75" customHeight="1">
      <c r="A38" s="1"/>
      <c r="B38" s="1"/>
      <c r="C38" s="1"/>
      <c r="D38" s="1"/>
      <c r="E38" s="1"/>
      <c r="F38" s="1"/>
      <c r="G38" s="1"/>
      <c r="H38" s="1"/>
      <c r="I38" s="1"/>
      <c r="J38" s="2"/>
      <c r="K38" s="2"/>
      <c r="L38" s="2"/>
      <c r="M38" s="2"/>
      <c r="N38" s="2"/>
      <c r="O38" s="2"/>
      <c r="P38" s="2"/>
      <c r="Q38" s="2"/>
      <c r="R38" s="2"/>
      <c r="S38" s="2"/>
      <c r="T38" s="2"/>
      <c r="U38" s="2"/>
      <c r="V38" s="2"/>
      <c r="W38" s="2"/>
      <c r="X38" s="2"/>
      <c r="Y38" s="2"/>
      <c r="Z38" s="2"/>
    </row>
    <row r="39" ht="15.75" customHeight="1">
      <c r="A39" s="1"/>
      <c r="B39" s="1"/>
      <c r="C39" s="1"/>
      <c r="D39" s="1"/>
      <c r="E39" s="1"/>
      <c r="F39" s="1"/>
      <c r="G39" s="1"/>
      <c r="H39" s="1"/>
      <c r="I39" s="1"/>
      <c r="J39" s="2"/>
      <c r="K39" s="2"/>
      <c r="L39" s="2"/>
      <c r="M39" s="2"/>
      <c r="N39" s="2"/>
      <c r="O39" s="2"/>
      <c r="P39" s="2"/>
      <c r="Q39" s="2"/>
      <c r="R39" s="2"/>
      <c r="S39" s="2"/>
      <c r="T39" s="2"/>
      <c r="U39" s="2"/>
      <c r="V39" s="2"/>
      <c r="W39" s="2"/>
      <c r="X39" s="2"/>
      <c r="Y39" s="2"/>
      <c r="Z39" s="2"/>
    </row>
    <row r="40" ht="15.75" customHeight="1">
      <c r="A40" s="1"/>
      <c r="B40" s="1"/>
      <c r="C40" s="1"/>
      <c r="D40" s="1"/>
      <c r="E40" s="1"/>
      <c r="F40" s="1"/>
      <c r="G40" s="1"/>
      <c r="H40" s="1"/>
      <c r="I40" s="1"/>
      <c r="J40" s="2"/>
      <c r="K40" s="2"/>
      <c r="L40" s="2"/>
      <c r="M40" s="2"/>
      <c r="N40" s="2"/>
      <c r="O40" s="2"/>
      <c r="P40" s="2"/>
      <c r="Q40" s="2"/>
      <c r="R40" s="2"/>
      <c r="S40" s="2"/>
      <c r="T40" s="2"/>
      <c r="U40" s="2"/>
      <c r="V40" s="2"/>
      <c r="W40" s="2"/>
      <c r="X40" s="2"/>
      <c r="Y40" s="2"/>
      <c r="Z40" s="2"/>
    </row>
    <row r="41" ht="15.75" customHeight="1">
      <c r="A41" s="1"/>
      <c r="B41" s="1"/>
      <c r="C41" s="1"/>
      <c r="D41" s="1"/>
      <c r="E41" s="1"/>
      <c r="F41" s="1"/>
      <c r="G41" s="1"/>
      <c r="H41" s="1"/>
      <c r="I41" s="1"/>
      <c r="J41" s="2"/>
      <c r="K41" s="2"/>
      <c r="L41" s="2"/>
      <c r="M41" s="2"/>
      <c r="N41" s="2"/>
      <c r="O41" s="2"/>
      <c r="P41" s="2"/>
      <c r="Q41" s="2"/>
      <c r="R41" s="2"/>
      <c r="S41" s="2"/>
      <c r="T41" s="2"/>
      <c r="U41" s="2"/>
      <c r="V41" s="2"/>
      <c r="W41" s="2"/>
      <c r="X41" s="2"/>
      <c r="Y41" s="2"/>
      <c r="Z41" s="2"/>
    </row>
    <row r="42" ht="15.75" customHeight="1">
      <c r="A42" s="1"/>
      <c r="B42" s="1"/>
      <c r="C42" s="1"/>
      <c r="D42" s="1"/>
      <c r="E42" s="1"/>
      <c r="F42" s="1"/>
      <c r="G42" s="1"/>
      <c r="H42" s="1"/>
      <c r="I42" s="1"/>
      <c r="J42" s="2"/>
      <c r="K42" s="2"/>
      <c r="L42" s="2"/>
      <c r="M42" s="2"/>
      <c r="N42" s="2"/>
      <c r="O42" s="2"/>
      <c r="P42" s="2"/>
      <c r="Q42" s="2"/>
      <c r="R42" s="2"/>
      <c r="S42" s="2"/>
      <c r="T42" s="2"/>
      <c r="U42" s="2"/>
      <c r="V42" s="2"/>
      <c r="W42" s="2"/>
      <c r="X42" s="2"/>
      <c r="Y42" s="2"/>
      <c r="Z42" s="2"/>
    </row>
    <row r="43" ht="15.75" customHeight="1">
      <c r="A43" s="1"/>
      <c r="B43" s="1"/>
      <c r="C43" s="1"/>
      <c r="D43" s="1"/>
      <c r="E43" s="1"/>
      <c r="F43" s="1"/>
      <c r="G43" s="1"/>
      <c r="H43" s="1"/>
      <c r="I43" s="1"/>
      <c r="J43" s="2"/>
      <c r="K43" s="2"/>
      <c r="L43" s="2"/>
      <c r="M43" s="2"/>
      <c r="N43" s="2"/>
      <c r="O43" s="2"/>
      <c r="P43" s="2"/>
      <c r="Q43" s="2"/>
      <c r="R43" s="2"/>
      <c r="S43" s="2"/>
      <c r="T43" s="2"/>
      <c r="U43" s="2"/>
      <c r="V43" s="2"/>
      <c r="W43" s="2"/>
      <c r="X43" s="2"/>
      <c r="Y43" s="2"/>
      <c r="Z43" s="2"/>
    </row>
    <row r="44" ht="15.75" customHeight="1">
      <c r="A44" s="1"/>
      <c r="B44" s="1"/>
      <c r="C44" s="1"/>
      <c r="D44" s="1"/>
      <c r="E44" s="1"/>
      <c r="F44" s="1"/>
      <c r="G44" s="1"/>
      <c r="H44" s="1"/>
      <c r="I44" s="1"/>
      <c r="J44" s="2"/>
      <c r="K44" s="2"/>
      <c r="L44" s="2"/>
      <c r="M44" s="2"/>
      <c r="N44" s="2"/>
      <c r="O44" s="2"/>
      <c r="P44" s="2"/>
      <c r="Q44" s="2"/>
      <c r="R44" s="2"/>
      <c r="S44" s="2"/>
      <c r="T44" s="2"/>
      <c r="U44" s="2"/>
      <c r="V44" s="2"/>
      <c r="W44" s="2"/>
      <c r="X44" s="2"/>
      <c r="Y44" s="2"/>
      <c r="Z44" s="2"/>
    </row>
    <row r="45" ht="15.75" customHeight="1">
      <c r="A45" s="1"/>
      <c r="B45" s="1"/>
      <c r="C45" s="1"/>
      <c r="D45" s="1"/>
      <c r="E45" s="1"/>
      <c r="F45" s="1"/>
      <c r="G45" s="1"/>
      <c r="H45" s="1"/>
      <c r="I45" s="1"/>
      <c r="J45" s="2"/>
      <c r="K45" s="2"/>
      <c r="L45" s="2"/>
      <c r="M45" s="2"/>
      <c r="N45" s="2"/>
      <c r="O45" s="2"/>
      <c r="P45" s="2"/>
      <c r="Q45" s="2"/>
      <c r="R45" s="2"/>
      <c r="S45" s="2"/>
      <c r="T45" s="2"/>
      <c r="U45" s="2"/>
      <c r="V45" s="2"/>
      <c r="W45" s="2"/>
      <c r="X45" s="2"/>
      <c r="Y45" s="2"/>
      <c r="Z45" s="2"/>
    </row>
    <row r="46" ht="15.75" customHeight="1">
      <c r="A46" s="1"/>
      <c r="B46" s="1"/>
      <c r="C46" s="1"/>
      <c r="D46" s="1"/>
      <c r="E46" s="1"/>
      <c r="F46" s="1"/>
      <c r="G46" s="1"/>
      <c r="H46" s="1"/>
      <c r="I46" s="1"/>
      <c r="J46" s="2"/>
      <c r="K46" s="2"/>
      <c r="L46" s="2"/>
      <c r="M46" s="2"/>
      <c r="N46" s="2"/>
      <c r="O46" s="2"/>
      <c r="P46" s="2"/>
      <c r="Q46" s="2"/>
      <c r="R46" s="2"/>
      <c r="S46" s="2"/>
      <c r="T46" s="2"/>
      <c r="U46" s="2"/>
      <c r="V46" s="2"/>
      <c r="W46" s="2"/>
      <c r="X46" s="2"/>
      <c r="Y46" s="2"/>
      <c r="Z46" s="2"/>
    </row>
    <row r="47" ht="15.75" customHeight="1">
      <c r="A47" s="1"/>
      <c r="B47" s="1"/>
      <c r="C47" s="1"/>
      <c r="D47" s="1"/>
      <c r="E47" s="1"/>
      <c r="F47" s="1"/>
      <c r="G47" s="1"/>
      <c r="H47" s="1"/>
      <c r="I47" s="1"/>
      <c r="J47" s="2"/>
      <c r="K47" s="2"/>
      <c r="L47" s="2"/>
      <c r="M47" s="2"/>
      <c r="N47" s="2"/>
      <c r="O47" s="2"/>
      <c r="P47" s="2"/>
      <c r="Q47" s="2"/>
      <c r="R47" s="2"/>
      <c r="S47" s="2"/>
      <c r="T47" s="2"/>
      <c r="U47" s="2"/>
      <c r="V47" s="2"/>
      <c r="W47" s="2"/>
      <c r="X47" s="2"/>
      <c r="Y47" s="2"/>
      <c r="Z47" s="2"/>
    </row>
    <row r="48" ht="15.75" customHeight="1">
      <c r="A48" s="1"/>
      <c r="B48" s="1"/>
      <c r="C48" s="1"/>
      <c r="D48" s="1"/>
      <c r="E48" s="1"/>
      <c r="F48" s="1"/>
      <c r="G48" s="1"/>
      <c r="H48" s="1"/>
      <c r="I48" s="1"/>
      <c r="J48" s="2"/>
      <c r="K48" s="2"/>
      <c r="L48" s="2"/>
      <c r="M48" s="2"/>
      <c r="N48" s="2"/>
      <c r="O48" s="2"/>
      <c r="P48" s="2"/>
      <c r="Q48" s="2"/>
      <c r="R48" s="2"/>
      <c r="S48" s="2"/>
      <c r="T48" s="2"/>
      <c r="U48" s="2"/>
      <c r="V48" s="2"/>
      <c r="W48" s="2"/>
      <c r="X48" s="2"/>
      <c r="Y48" s="2"/>
      <c r="Z48" s="2"/>
    </row>
    <row r="49" ht="15.75" customHeight="1">
      <c r="A49" s="1"/>
      <c r="B49" s="1"/>
      <c r="C49" s="1"/>
      <c r="D49" s="1"/>
      <c r="E49" s="1"/>
      <c r="F49" s="1"/>
      <c r="G49" s="1"/>
      <c r="H49" s="1"/>
      <c r="I49" s="1"/>
      <c r="J49" s="2"/>
      <c r="K49" s="2"/>
      <c r="L49" s="2"/>
      <c r="M49" s="2"/>
      <c r="N49" s="2"/>
      <c r="O49" s="2"/>
      <c r="P49" s="2"/>
      <c r="Q49" s="2"/>
      <c r="R49" s="2"/>
      <c r="S49" s="2"/>
      <c r="T49" s="2"/>
      <c r="U49" s="2"/>
      <c r="V49" s="2"/>
      <c r="W49" s="2"/>
      <c r="X49" s="2"/>
      <c r="Y49" s="2"/>
      <c r="Z49" s="2"/>
    </row>
    <row r="50" ht="15.75" customHeight="1">
      <c r="A50" s="1"/>
      <c r="B50" s="1"/>
      <c r="C50" s="1"/>
      <c r="D50" s="1"/>
      <c r="E50" s="1"/>
      <c r="F50" s="1"/>
      <c r="G50" s="1"/>
      <c r="H50" s="1"/>
      <c r="I50" s="1"/>
      <c r="J50" s="2"/>
      <c r="K50" s="2"/>
      <c r="L50" s="2"/>
      <c r="M50" s="2"/>
      <c r="N50" s="2"/>
      <c r="O50" s="2"/>
      <c r="P50" s="2"/>
      <c r="Q50" s="2"/>
      <c r="R50" s="2"/>
      <c r="S50" s="2"/>
      <c r="T50" s="2"/>
      <c r="U50" s="2"/>
      <c r="V50" s="2"/>
      <c r="W50" s="2"/>
      <c r="X50" s="2"/>
      <c r="Y50" s="2"/>
      <c r="Z50" s="2"/>
    </row>
    <row r="51" ht="15.75" customHeight="1">
      <c r="A51" s="1"/>
      <c r="B51" s="1"/>
      <c r="C51" s="1"/>
      <c r="D51" s="1"/>
      <c r="E51" s="1"/>
      <c r="F51" s="1"/>
      <c r="G51" s="1"/>
      <c r="H51" s="1"/>
      <c r="I51" s="1"/>
      <c r="J51" s="2"/>
      <c r="K51" s="2"/>
      <c r="L51" s="2"/>
      <c r="M51" s="2"/>
      <c r="N51" s="2"/>
      <c r="O51" s="2"/>
      <c r="P51" s="2"/>
      <c r="Q51" s="2"/>
      <c r="R51" s="2"/>
      <c r="S51" s="2"/>
      <c r="T51" s="2"/>
      <c r="U51" s="2"/>
      <c r="V51" s="2"/>
      <c r="W51" s="2"/>
      <c r="X51" s="2"/>
      <c r="Y51" s="2"/>
      <c r="Z51" s="2"/>
    </row>
    <row r="52" ht="15.75" customHeight="1">
      <c r="A52" s="1"/>
      <c r="B52" s="1"/>
      <c r="C52" s="1"/>
      <c r="D52" s="1"/>
      <c r="E52" s="1"/>
      <c r="F52" s="1"/>
      <c r="G52" s="1"/>
      <c r="H52" s="1"/>
      <c r="I52" s="1"/>
      <c r="J52" s="2"/>
      <c r="K52" s="2"/>
      <c r="L52" s="2"/>
      <c r="M52" s="2"/>
      <c r="N52" s="2"/>
      <c r="O52" s="2"/>
      <c r="P52" s="2"/>
      <c r="Q52" s="2"/>
      <c r="R52" s="2"/>
      <c r="S52" s="2"/>
      <c r="T52" s="2"/>
      <c r="U52" s="2"/>
      <c r="V52" s="2"/>
      <c r="W52" s="2"/>
      <c r="X52" s="2"/>
      <c r="Y52" s="2"/>
      <c r="Z52" s="2"/>
    </row>
    <row r="53" ht="15.75" customHeight="1">
      <c r="A53" s="1"/>
      <c r="B53" s="1"/>
      <c r="C53" s="1"/>
      <c r="D53" s="1"/>
      <c r="E53" s="1"/>
      <c r="F53" s="1"/>
      <c r="G53" s="1"/>
      <c r="H53" s="1"/>
      <c r="I53" s="1"/>
      <c r="J53" s="2"/>
      <c r="K53" s="2"/>
      <c r="L53" s="2"/>
      <c r="M53" s="2"/>
      <c r="N53" s="2"/>
      <c r="O53" s="2"/>
      <c r="P53" s="2"/>
      <c r="Q53" s="2"/>
      <c r="R53" s="2"/>
      <c r="S53" s="2"/>
      <c r="T53" s="2"/>
      <c r="U53" s="2"/>
      <c r="V53" s="2"/>
      <c r="W53" s="2"/>
      <c r="X53" s="2"/>
      <c r="Y53" s="2"/>
      <c r="Z53" s="2"/>
    </row>
    <row r="54" ht="15.75" customHeight="1">
      <c r="A54" s="1"/>
      <c r="B54" s="1"/>
      <c r="C54" s="1"/>
      <c r="D54" s="1"/>
      <c r="E54" s="1"/>
      <c r="F54" s="1"/>
      <c r="G54" s="1"/>
      <c r="H54" s="1"/>
      <c r="I54" s="1"/>
      <c r="J54" s="2"/>
      <c r="K54" s="2"/>
      <c r="L54" s="2"/>
      <c r="M54" s="2"/>
      <c r="N54" s="2"/>
      <c r="O54" s="2"/>
      <c r="P54" s="2"/>
      <c r="Q54" s="2"/>
      <c r="R54" s="2"/>
      <c r="S54" s="2"/>
      <c r="T54" s="2"/>
      <c r="U54" s="2"/>
      <c r="V54" s="2"/>
      <c r="W54" s="2"/>
      <c r="X54" s="2"/>
      <c r="Y54" s="2"/>
      <c r="Z54" s="2"/>
    </row>
    <row r="55" ht="15.75" customHeight="1">
      <c r="A55" s="1"/>
      <c r="B55" s="1"/>
      <c r="C55" s="1"/>
      <c r="D55" s="1"/>
      <c r="E55" s="1"/>
      <c r="F55" s="1"/>
      <c r="G55" s="1"/>
      <c r="H55" s="1"/>
      <c r="I55" s="1"/>
      <c r="J55" s="2"/>
      <c r="K55" s="2"/>
      <c r="L55" s="2"/>
      <c r="M55" s="2"/>
      <c r="N55" s="2"/>
      <c r="O55" s="2"/>
      <c r="P55" s="2"/>
      <c r="Q55" s="2"/>
      <c r="R55" s="2"/>
      <c r="S55" s="2"/>
      <c r="T55" s="2"/>
      <c r="U55" s="2"/>
      <c r="V55" s="2"/>
      <c r="W55" s="2"/>
      <c r="X55" s="2"/>
      <c r="Y55" s="2"/>
      <c r="Z55" s="2"/>
    </row>
    <row r="56" ht="15.75" customHeight="1">
      <c r="A56" s="1"/>
      <c r="B56" s="1"/>
      <c r="C56" s="1"/>
      <c r="D56" s="1"/>
      <c r="E56" s="1"/>
      <c r="F56" s="1"/>
      <c r="G56" s="1"/>
      <c r="H56" s="1"/>
      <c r="I56" s="1"/>
      <c r="J56" s="2"/>
      <c r="K56" s="2"/>
      <c r="L56" s="2"/>
      <c r="M56" s="2"/>
      <c r="N56" s="2"/>
      <c r="O56" s="2"/>
      <c r="P56" s="2"/>
      <c r="Q56" s="2"/>
      <c r="R56" s="2"/>
      <c r="S56" s="2"/>
      <c r="T56" s="2"/>
      <c r="U56" s="2"/>
      <c r="V56" s="2"/>
      <c r="W56" s="2"/>
      <c r="X56" s="2"/>
      <c r="Y56" s="2"/>
      <c r="Z56" s="2"/>
    </row>
    <row r="57" ht="15.75" customHeight="1">
      <c r="A57" s="1"/>
      <c r="B57" s="1"/>
      <c r="C57" s="1"/>
      <c r="D57" s="1"/>
      <c r="E57" s="1"/>
      <c r="F57" s="1"/>
      <c r="G57" s="1"/>
      <c r="H57" s="1"/>
      <c r="I57" s="1"/>
      <c r="J57" s="2"/>
      <c r="K57" s="2"/>
      <c r="L57" s="2"/>
      <c r="M57" s="2"/>
      <c r="N57" s="2"/>
      <c r="O57" s="2"/>
      <c r="P57" s="2"/>
      <c r="Q57" s="2"/>
      <c r="R57" s="2"/>
      <c r="S57" s="2"/>
      <c r="T57" s="2"/>
      <c r="U57" s="2"/>
      <c r="V57" s="2"/>
      <c r="W57" s="2"/>
      <c r="X57" s="2"/>
      <c r="Y57" s="2"/>
      <c r="Z57" s="2"/>
    </row>
    <row r="58" ht="15.75" customHeight="1">
      <c r="A58" s="1"/>
      <c r="B58" s="1"/>
      <c r="C58" s="1"/>
      <c r="D58" s="1"/>
      <c r="E58" s="1"/>
      <c r="F58" s="1"/>
      <c r="G58" s="1"/>
      <c r="H58" s="1"/>
      <c r="I58" s="1"/>
      <c r="J58" s="2"/>
      <c r="K58" s="2"/>
      <c r="L58" s="2"/>
      <c r="M58" s="2"/>
      <c r="N58" s="2"/>
      <c r="O58" s="2"/>
      <c r="P58" s="2"/>
      <c r="Q58" s="2"/>
      <c r="R58" s="2"/>
      <c r="S58" s="2"/>
      <c r="T58" s="2"/>
      <c r="U58" s="2"/>
      <c r="V58" s="2"/>
      <c r="W58" s="2"/>
      <c r="X58" s="2"/>
      <c r="Y58" s="2"/>
      <c r="Z58" s="2"/>
    </row>
    <row r="59" ht="15.75" customHeight="1">
      <c r="A59" s="1"/>
      <c r="B59" s="1"/>
      <c r="C59" s="1"/>
      <c r="D59" s="1"/>
      <c r="E59" s="1"/>
      <c r="F59" s="1"/>
      <c r="G59" s="1"/>
      <c r="H59" s="1"/>
      <c r="I59" s="1"/>
      <c r="J59" s="2"/>
      <c r="K59" s="2"/>
      <c r="L59" s="2"/>
      <c r="M59" s="2"/>
      <c r="N59" s="2"/>
      <c r="O59" s="2"/>
      <c r="P59" s="2"/>
      <c r="Q59" s="2"/>
      <c r="R59" s="2"/>
      <c r="S59" s="2"/>
      <c r="T59" s="2"/>
      <c r="U59" s="2"/>
      <c r="V59" s="2"/>
      <c r="W59" s="2"/>
      <c r="X59" s="2"/>
      <c r="Y59" s="2"/>
      <c r="Z59" s="2"/>
    </row>
    <row r="60" ht="15.75" customHeight="1">
      <c r="A60" s="1"/>
      <c r="B60" s="1"/>
      <c r="C60" s="1"/>
      <c r="D60" s="1"/>
      <c r="E60" s="1"/>
      <c r="F60" s="1"/>
      <c r="G60" s="1"/>
      <c r="H60" s="1"/>
      <c r="I60" s="1"/>
      <c r="J60" s="2"/>
      <c r="K60" s="2"/>
      <c r="L60" s="2"/>
      <c r="M60" s="2"/>
      <c r="N60" s="2"/>
      <c r="O60" s="2"/>
      <c r="P60" s="2"/>
      <c r="Q60" s="2"/>
      <c r="R60" s="2"/>
      <c r="S60" s="2"/>
      <c r="T60" s="2"/>
      <c r="U60" s="2"/>
      <c r="V60" s="2"/>
      <c r="W60" s="2"/>
      <c r="X60" s="2"/>
      <c r="Y60" s="2"/>
      <c r="Z60" s="2"/>
    </row>
    <row r="61" ht="15.75" customHeight="1">
      <c r="A61" s="1"/>
      <c r="B61" s="1"/>
      <c r="C61" s="1"/>
      <c r="D61" s="1"/>
      <c r="E61" s="1"/>
      <c r="F61" s="1"/>
      <c r="G61" s="1"/>
      <c r="H61" s="1"/>
      <c r="I61" s="1"/>
      <c r="J61" s="2"/>
      <c r="K61" s="2"/>
      <c r="L61" s="2"/>
      <c r="M61" s="2"/>
      <c r="N61" s="2"/>
      <c r="O61" s="2"/>
      <c r="P61" s="2"/>
      <c r="Q61" s="2"/>
      <c r="R61" s="2"/>
      <c r="S61" s="2"/>
      <c r="T61" s="2"/>
      <c r="U61" s="2"/>
      <c r="V61" s="2"/>
      <c r="W61" s="2"/>
      <c r="X61" s="2"/>
      <c r="Y61" s="2"/>
      <c r="Z61" s="2"/>
    </row>
    <row r="62" ht="15.75" customHeight="1">
      <c r="A62" s="1"/>
      <c r="B62" s="1"/>
      <c r="C62" s="1"/>
      <c r="D62" s="1"/>
      <c r="E62" s="1"/>
      <c r="F62" s="1"/>
      <c r="G62" s="1"/>
      <c r="H62" s="1"/>
      <c r="I62" s="1"/>
      <c r="J62" s="2"/>
      <c r="K62" s="2"/>
      <c r="L62" s="2"/>
      <c r="M62" s="2"/>
      <c r="N62" s="2"/>
      <c r="O62" s="2"/>
      <c r="P62" s="2"/>
      <c r="Q62" s="2"/>
      <c r="R62" s="2"/>
      <c r="S62" s="2"/>
      <c r="T62" s="2"/>
      <c r="U62" s="2"/>
      <c r="V62" s="2"/>
      <c r="W62" s="2"/>
      <c r="X62" s="2"/>
      <c r="Y62" s="2"/>
      <c r="Z62" s="2"/>
    </row>
    <row r="63" ht="15.75" customHeight="1">
      <c r="A63" s="1"/>
      <c r="B63" s="1"/>
      <c r="C63" s="1"/>
      <c r="D63" s="1"/>
      <c r="E63" s="1"/>
      <c r="F63" s="1"/>
      <c r="G63" s="1"/>
      <c r="H63" s="1"/>
      <c r="I63" s="1"/>
      <c r="J63" s="2"/>
      <c r="K63" s="2"/>
      <c r="L63" s="2"/>
      <c r="M63" s="2"/>
      <c r="N63" s="2"/>
      <c r="O63" s="2"/>
      <c r="P63" s="2"/>
      <c r="Q63" s="2"/>
      <c r="R63" s="2"/>
      <c r="S63" s="2"/>
      <c r="T63" s="2"/>
      <c r="U63" s="2"/>
      <c r="V63" s="2"/>
      <c r="W63" s="2"/>
      <c r="X63" s="2"/>
      <c r="Y63" s="2"/>
      <c r="Z63" s="2"/>
    </row>
    <row r="64" ht="15.75" customHeight="1">
      <c r="A64" s="1"/>
      <c r="B64" s="1"/>
      <c r="C64" s="1"/>
      <c r="D64" s="1"/>
      <c r="E64" s="1"/>
      <c r="F64" s="1"/>
      <c r="G64" s="1"/>
      <c r="H64" s="1"/>
      <c r="I64" s="1"/>
      <c r="J64" s="2"/>
      <c r="K64" s="2"/>
      <c r="L64" s="2"/>
      <c r="M64" s="2"/>
      <c r="N64" s="2"/>
      <c r="O64" s="2"/>
      <c r="P64" s="2"/>
      <c r="Q64" s="2"/>
      <c r="R64" s="2"/>
      <c r="S64" s="2"/>
      <c r="T64" s="2"/>
      <c r="U64" s="2"/>
      <c r="V64" s="2"/>
      <c r="W64" s="2"/>
      <c r="X64" s="2"/>
      <c r="Y64" s="2"/>
      <c r="Z64" s="2"/>
    </row>
    <row r="65" ht="15.75" customHeight="1">
      <c r="A65" s="1"/>
      <c r="B65" s="1"/>
      <c r="C65" s="1"/>
      <c r="D65" s="1"/>
      <c r="E65" s="1"/>
      <c r="F65" s="1"/>
      <c r="G65" s="1"/>
      <c r="H65" s="1"/>
      <c r="I65" s="1"/>
      <c r="J65" s="2"/>
      <c r="K65" s="2"/>
      <c r="L65" s="2"/>
      <c r="M65" s="2"/>
      <c r="N65" s="2"/>
      <c r="O65" s="2"/>
      <c r="P65" s="2"/>
      <c r="Q65" s="2"/>
      <c r="R65" s="2"/>
      <c r="S65" s="2"/>
      <c r="T65" s="2"/>
      <c r="U65" s="2"/>
      <c r="V65" s="2"/>
      <c r="W65" s="2"/>
      <c r="X65" s="2"/>
      <c r="Y65" s="2"/>
      <c r="Z65" s="2"/>
    </row>
    <row r="66" ht="15.75" customHeight="1">
      <c r="A66" s="1"/>
      <c r="B66" s="1"/>
      <c r="C66" s="1"/>
      <c r="D66" s="1"/>
      <c r="E66" s="1"/>
      <c r="F66" s="1"/>
      <c r="G66" s="1"/>
      <c r="H66" s="1"/>
      <c r="I66" s="1"/>
      <c r="J66" s="2"/>
      <c r="K66" s="2"/>
      <c r="L66" s="2"/>
      <c r="M66" s="2"/>
      <c r="N66" s="2"/>
      <c r="O66" s="2"/>
      <c r="P66" s="2"/>
      <c r="Q66" s="2"/>
      <c r="R66" s="2"/>
      <c r="S66" s="2"/>
      <c r="T66" s="2"/>
      <c r="U66" s="2"/>
      <c r="V66" s="2"/>
      <c r="W66" s="2"/>
      <c r="X66" s="2"/>
      <c r="Y66" s="2"/>
      <c r="Z66" s="2"/>
    </row>
    <row r="67" ht="15.75" customHeight="1">
      <c r="A67" s="1"/>
      <c r="B67" s="1"/>
      <c r="C67" s="1"/>
      <c r="D67" s="1"/>
      <c r="E67" s="1"/>
      <c r="F67" s="1"/>
      <c r="G67" s="1"/>
      <c r="H67" s="1"/>
      <c r="I67" s="1"/>
      <c r="J67" s="2"/>
      <c r="K67" s="2"/>
      <c r="L67" s="2"/>
      <c r="M67" s="2"/>
      <c r="N67" s="2"/>
      <c r="O67" s="2"/>
      <c r="P67" s="2"/>
      <c r="Q67" s="2"/>
      <c r="R67" s="2"/>
      <c r="S67" s="2"/>
      <c r="T67" s="2"/>
      <c r="U67" s="2"/>
      <c r="V67" s="2"/>
      <c r="W67" s="2"/>
      <c r="X67" s="2"/>
      <c r="Y67" s="2"/>
      <c r="Z67" s="2"/>
    </row>
    <row r="68" ht="15.75" customHeight="1">
      <c r="A68" s="1"/>
      <c r="B68" s="1"/>
      <c r="C68" s="1"/>
      <c r="D68" s="1"/>
      <c r="E68" s="1"/>
      <c r="F68" s="1"/>
      <c r="G68" s="1"/>
      <c r="H68" s="1"/>
      <c r="I68" s="1"/>
      <c r="J68" s="2"/>
      <c r="K68" s="2"/>
      <c r="L68" s="2"/>
      <c r="M68" s="2"/>
      <c r="N68" s="2"/>
      <c r="O68" s="2"/>
      <c r="P68" s="2"/>
      <c r="Q68" s="2"/>
      <c r="R68" s="2"/>
      <c r="S68" s="2"/>
      <c r="T68" s="2"/>
      <c r="U68" s="2"/>
      <c r="V68" s="2"/>
      <c r="W68" s="2"/>
      <c r="X68" s="2"/>
      <c r="Y68" s="2"/>
      <c r="Z68" s="2"/>
    </row>
    <row r="69" ht="15.75" customHeight="1">
      <c r="A69" s="1"/>
      <c r="B69" s="1"/>
      <c r="C69" s="1"/>
      <c r="D69" s="1"/>
      <c r="E69" s="1"/>
      <c r="F69" s="1"/>
      <c r="G69" s="1"/>
      <c r="H69" s="1"/>
      <c r="I69" s="1"/>
      <c r="J69" s="2"/>
      <c r="K69" s="2"/>
      <c r="L69" s="2"/>
      <c r="M69" s="2"/>
      <c r="N69" s="2"/>
      <c r="O69" s="2"/>
      <c r="P69" s="2"/>
      <c r="Q69" s="2"/>
      <c r="R69" s="2"/>
      <c r="S69" s="2"/>
      <c r="T69" s="2"/>
      <c r="U69" s="2"/>
      <c r="V69" s="2"/>
      <c r="W69" s="2"/>
      <c r="X69" s="2"/>
      <c r="Y69" s="2"/>
      <c r="Z69" s="2"/>
    </row>
    <row r="70" ht="15.75" customHeight="1">
      <c r="A70" s="1"/>
      <c r="B70" s="1"/>
      <c r="C70" s="1"/>
      <c r="D70" s="1"/>
      <c r="E70" s="1"/>
      <c r="F70" s="1"/>
      <c r="G70" s="1"/>
      <c r="H70" s="1"/>
      <c r="I70" s="1"/>
      <c r="J70" s="2"/>
      <c r="K70" s="2"/>
      <c r="L70" s="2"/>
      <c r="M70" s="2"/>
      <c r="N70" s="2"/>
      <c r="O70" s="2"/>
      <c r="P70" s="2"/>
      <c r="Q70" s="2"/>
      <c r="R70" s="2"/>
      <c r="S70" s="2"/>
      <c r="T70" s="2"/>
      <c r="U70" s="2"/>
      <c r="V70" s="2"/>
      <c r="W70" s="2"/>
      <c r="X70" s="2"/>
      <c r="Y70" s="2"/>
      <c r="Z70" s="2"/>
    </row>
    <row r="71" ht="15.75" customHeight="1">
      <c r="A71" s="1"/>
      <c r="B71" s="1"/>
      <c r="C71" s="1"/>
      <c r="D71" s="1"/>
      <c r="E71" s="1"/>
      <c r="F71" s="1"/>
      <c r="G71" s="1"/>
      <c r="H71" s="1"/>
      <c r="I71" s="1"/>
      <c r="J71" s="2"/>
      <c r="K71" s="2"/>
      <c r="L71" s="2"/>
      <c r="M71" s="2"/>
      <c r="N71" s="2"/>
      <c r="O71" s="2"/>
      <c r="P71" s="2"/>
      <c r="Q71" s="2"/>
      <c r="R71" s="2"/>
      <c r="S71" s="2"/>
      <c r="T71" s="2"/>
      <c r="U71" s="2"/>
      <c r="V71" s="2"/>
      <c r="W71" s="2"/>
      <c r="X71" s="2"/>
      <c r="Y71" s="2"/>
      <c r="Z71" s="2"/>
    </row>
    <row r="72" ht="15.75" customHeight="1">
      <c r="A72" s="1"/>
      <c r="B72" s="1"/>
      <c r="C72" s="1"/>
      <c r="D72" s="1"/>
      <c r="E72" s="1"/>
      <c r="F72" s="1"/>
      <c r="G72" s="1"/>
      <c r="H72" s="1"/>
      <c r="I72" s="1"/>
      <c r="J72" s="2"/>
      <c r="K72" s="2"/>
      <c r="L72" s="2"/>
      <c r="M72" s="2"/>
      <c r="N72" s="2"/>
      <c r="O72" s="2"/>
      <c r="P72" s="2"/>
      <c r="Q72" s="2"/>
      <c r="R72" s="2"/>
      <c r="S72" s="2"/>
      <c r="T72" s="2"/>
      <c r="U72" s="2"/>
      <c r="V72" s="2"/>
      <c r="W72" s="2"/>
      <c r="X72" s="2"/>
      <c r="Y72" s="2"/>
      <c r="Z72" s="2"/>
    </row>
    <row r="73" ht="15.75" customHeight="1">
      <c r="A73" s="1"/>
      <c r="B73" s="1"/>
      <c r="C73" s="1"/>
      <c r="D73" s="1"/>
      <c r="E73" s="1"/>
      <c r="F73" s="1"/>
      <c r="G73" s="1"/>
      <c r="H73" s="1"/>
      <c r="I73" s="1"/>
      <c r="J73" s="2"/>
      <c r="K73" s="2"/>
      <c r="L73" s="2"/>
      <c r="M73" s="2"/>
      <c r="N73" s="2"/>
      <c r="O73" s="2"/>
      <c r="P73" s="2"/>
      <c r="Q73" s="2"/>
      <c r="R73" s="2"/>
      <c r="S73" s="2"/>
      <c r="T73" s="2"/>
      <c r="U73" s="2"/>
      <c r="V73" s="2"/>
      <c r="W73" s="2"/>
      <c r="X73" s="2"/>
      <c r="Y73" s="2"/>
      <c r="Z73" s="2"/>
    </row>
    <row r="74" ht="15.75" customHeight="1">
      <c r="A74" s="1"/>
      <c r="B74" s="1"/>
      <c r="C74" s="1"/>
      <c r="D74" s="1"/>
      <c r="E74" s="1"/>
      <c r="F74" s="1"/>
      <c r="G74" s="1"/>
      <c r="H74" s="1"/>
      <c r="I74" s="1"/>
      <c r="J74" s="2"/>
      <c r="K74" s="2"/>
      <c r="L74" s="2"/>
      <c r="M74" s="2"/>
      <c r="N74" s="2"/>
      <c r="O74" s="2"/>
      <c r="P74" s="2"/>
      <c r="Q74" s="2"/>
      <c r="R74" s="2"/>
      <c r="S74" s="2"/>
      <c r="T74" s="2"/>
      <c r="U74" s="2"/>
      <c r="V74" s="2"/>
      <c r="W74" s="2"/>
      <c r="X74" s="2"/>
      <c r="Y74" s="2"/>
      <c r="Z74" s="2"/>
    </row>
    <row r="75" ht="15.75" customHeight="1">
      <c r="A75" s="1"/>
      <c r="B75" s="1"/>
      <c r="C75" s="1"/>
      <c r="D75" s="1"/>
      <c r="E75" s="1"/>
      <c r="F75" s="1"/>
      <c r="G75" s="1"/>
      <c r="H75" s="1"/>
      <c r="I75" s="1"/>
      <c r="J75" s="2"/>
      <c r="K75" s="2"/>
      <c r="L75" s="2"/>
      <c r="M75" s="2"/>
      <c r="N75" s="2"/>
      <c r="O75" s="2"/>
      <c r="P75" s="2"/>
      <c r="Q75" s="2"/>
      <c r="R75" s="2"/>
      <c r="S75" s="2"/>
      <c r="T75" s="2"/>
      <c r="U75" s="2"/>
      <c r="V75" s="2"/>
      <c r="W75" s="2"/>
      <c r="X75" s="2"/>
      <c r="Y75" s="2"/>
      <c r="Z75" s="2"/>
    </row>
    <row r="76" ht="15.75" customHeight="1">
      <c r="A76" s="1"/>
      <c r="B76" s="1"/>
      <c r="C76" s="1"/>
      <c r="D76" s="1"/>
      <c r="E76" s="1"/>
      <c r="F76" s="1"/>
      <c r="G76" s="1"/>
      <c r="H76" s="1"/>
      <c r="I76" s="1"/>
      <c r="J76" s="2"/>
      <c r="K76" s="2"/>
      <c r="L76" s="2"/>
      <c r="M76" s="2"/>
      <c r="N76" s="2"/>
      <c r="O76" s="2"/>
      <c r="P76" s="2"/>
      <c r="Q76" s="2"/>
      <c r="R76" s="2"/>
      <c r="S76" s="2"/>
      <c r="T76" s="2"/>
      <c r="U76" s="2"/>
      <c r="V76" s="2"/>
      <c r="W76" s="2"/>
      <c r="X76" s="2"/>
      <c r="Y76" s="2"/>
      <c r="Z76" s="2"/>
    </row>
    <row r="77" ht="15.75" customHeight="1">
      <c r="A77" s="1"/>
      <c r="B77" s="1"/>
      <c r="C77" s="1"/>
      <c r="D77" s="1"/>
      <c r="E77" s="1"/>
      <c r="F77" s="1"/>
      <c r="G77" s="1"/>
      <c r="H77" s="1"/>
      <c r="I77" s="1"/>
      <c r="J77" s="2"/>
      <c r="K77" s="2"/>
      <c r="L77" s="2"/>
      <c r="M77" s="2"/>
      <c r="N77" s="2"/>
      <c r="O77" s="2"/>
      <c r="P77" s="2"/>
      <c r="Q77" s="2"/>
      <c r="R77" s="2"/>
      <c r="S77" s="2"/>
      <c r="T77" s="2"/>
      <c r="U77" s="2"/>
      <c r="V77" s="2"/>
      <c r="W77" s="2"/>
      <c r="X77" s="2"/>
      <c r="Y77" s="2"/>
      <c r="Z77" s="2"/>
    </row>
    <row r="78" ht="15.75" customHeight="1">
      <c r="A78" s="1"/>
      <c r="B78" s="1"/>
      <c r="C78" s="1"/>
      <c r="D78" s="1"/>
      <c r="E78" s="1"/>
      <c r="F78" s="1"/>
      <c r="G78" s="1"/>
      <c r="H78" s="1"/>
      <c r="I78" s="1"/>
      <c r="J78" s="2"/>
      <c r="K78" s="2"/>
      <c r="L78" s="2"/>
      <c r="M78" s="2"/>
      <c r="N78" s="2"/>
      <c r="O78" s="2"/>
      <c r="P78" s="2"/>
      <c r="Q78" s="2"/>
      <c r="R78" s="2"/>
      <c r="S78" s="2"/>
      <c r="T78" s="2"/>
      <c r="U78" s="2"/>
      <c r="V78" s="2"/>
      <c r="W78" s="2"/>
      <c r="X78" s="2"/>
      <c r="Y78" s="2"/>
      <c r="Z78" s="2"/>
    </row>
    <row r="79" ht="15.75" customHeight="1">
      <c r="A79" s="1"/>
      <c r="B79" s="1"/>
      <c r="C79" s="1"/>
      <c r="D79" s="1"/>
      <c r="E79" s="1"/>
      <c r="F79" s="1"/>
      <c r="G79" s="1"/>
      <c r="H79" s="1"/>
      <c r="I79" s="1"/>
      <c r="J79" s="2"/>
      <c r="K79" s="2"/>
      <c r="L79" s="2"/>
      <c r="M79" s="2"/>
      <c r="N79" s="2"/>
      <c r="O79" s="2"/>
      <c r="P79" s="2"/>
      <c r="Q79" s="2"/>
      <c r="R79" s="2"/>
      <c r="S79" s="2"/>
      <c r="T79" s="2"/>
      <c r="U79" s="2"/>
      <c r="V79" s="2"/>
      <c r="W79" s="2"/>
      <c r="X79" s="2"/>
      <c r="Y79" s="2"/>
      <c r="Z79" s="2"/>
    </row>
    <row r="80" ht="15.75" customHeight="1">
      <c r="A80" s="1"/>
      <c r="B80" s="1"/>
      <c r="C80" s="1"/>
      <c r="D80" s="1"/>
      <c r="E80" s="1"/>
      <c r="F80" s="1"/>
      <c r="G80" s="1"/>
      <c r="H80" s="1"/>
      <c r="I80" s="1"/>
      <c r="J80" s="2"/>
      <c r="K80" s="2"/>
      <c r="L80" s="2"/>
      <c r="M80" s="2"/>
      <c r="N80" s="2"/>
      <c r="O80" s="2"/>
      <c r="P80" s="2"/>
      <c r="Q80" s="2"/>
      <c r="R80" s="2"/>
      <c r="S80" s="2"/>
      <c r="T80" s="2"/>
      <c r="U80" s="2"/>
      <c r="V80" s="2"/>
      <c r="W80" s="2"/>
      <c r="X80" s="2"/>
      <c r="Y80" s="2"/>
      <c r="Z80" s="2"/>
    </row>
    <row r="81" ht="15.75" customHeight="1">
      <c r="A81" s="1"/>
      <c r="B81" s="1"/>
      <c r="C81" s="1"/>
      <c r="D81" s="1"/>
      <c r="E81" s="1"/>
      <c r="F81" s="1"/>
      <c r="G81" s="1"/>
      <c r="H81" s="1"/>
      <c r="I81" s="1"/>
      <c r="J81" s="2"/>
      <c r="K81" s="2"/>
      <c r="L81" s="2"/>
      <c r="M81" s="2"/>
      <c r="N81" s="2"/>
      <c r="O81" s="2"/>
      <c r="P81" s="2"/>
      <c r="Q81" s="2"/>
      <c r="R81" s="2"/>
      <c r="S81" s="2"/>
      <c r="T81" s="2"/>
      <c r="U81" s="2"/>
      <c r="V81" s="2"/>
      <c r="W81" s="2"/>
      <c r="X81" s="2"/>
      <c r="Y81" s="2"/>
      <c r="Z81" s="2"/>
    </row>
    <row r="82" ht="15.75" customHeight="1">
      <c r="A82" s="1"/>
      <c r="B82" s="1"/>
      <c r="C82" s="1"/>
      <c r="D82" s="1"/>
      <c r="E82" s="1"/>
      <c r="F82" s="1"/>
      <c r="G82" s="1"/>
      <c r="H82" s="1"/>
      <c r="I82" s="1"/>
      <c r="J82" s="2"/>
      <c r="K82" s="2"/>
      <c r="L82" s="2"/>
      <c r="M82" s="2"/>
      <c r="N82" s="2"/>
      <c r="O82" s="2"/>
      <c r="P82" s="2"/>
      <c r="Q82" s="2"/>
      <c r="R82" s="2"/>
      <c r="S82" s="2"/>
      <c r="T82" s="2"/>
      <c r="U82" s="2"/>
      <c r="V82" s="2"/>
      <c r="W82" s="2"/>
      <c r="X82" s="2"/>
      <c r="Y82" s="2"/>
      <c r="Z82" s="2"/>
    </row>
    <row r="83" ht="15.75" customHeight="1">
      <c r="A83" s="1"/>
      <c r="B83" s="1"/>
      <c r="C83" s="1"/>
      <c r="D83" s="1"/>
      <c r="E83" s="1"/>
      <c r="F83" s="1"/>
      <c r="G83" s="1"/>
      <c r="H83" s="1"/>
      <c r="I83" s="1"/>
      <c r="J83" s="2"/>
      <c r="K83" s="2"/>
      <c r="L83" s="2"/>
      <c r="M83" s="2"/>
      <c r="N83" s="2"/>
      <c r="O83" s="2"/>
      <c r="P83" s="2"/>
      <c r="Q83" s="2"/>
      <c r="R83" s="2"/>
      <c r="S83" s="2"/>
      <c r="T83" s="2"/>
      <c r="U83" s="2"/>
      <c r="V83" s="2"/>
      <c r="W83" s="2"/>
      <c r="X83" s="2"/>
      <c r="Y83" s="2"/>
      <c r="Z83" s="2"/>
    </row>
    <row r="84" ht="15.75" customHeight="1">
      <c r="A84" s="1"/>
      <c r="B84" s="1"/>
      <c r="C84" s="1"/>
      <c r="D84" s="1"/>
      <c r="E84" s="1"/>
      <c r="F84" s="1"/>
      <c r="G84" s="1"/>
      <c r="H84" s="1"/>
      <c r="I84" s="1"/>
      <c r="J84" s="2"/>
      <c r="K84" s="2"/>
      <c r="L84" s="2"/>
      <c r="M84" s="2"/>
      <c r="N84" s="2"/>
      <c r="O84" s="2"/>
      <c r="P84" s="2"/>
      <c r="Q84" s="2"/>
      <c r="R84" s="2"/>
      <c r="S84" s="2"/>
      <c r="T84" s="2"/>
      <c r="U84" s="2"/>
      <c r="V84" s="2"/>
      <c r="W84" s="2"/>
      <c r="X84" s="2"/>
      <c r="Y84" s="2"/>
      <c r="Z84" s="2"/>
    </row>
    <row r="85" ht="15.75" customHeight="1">
      <c r="A85" s="1"/>
      <c r="B85" s="1"/>
      <c r="C85" s="1"/>
      <c r="D85" s="1"/>
      <c r="E85" s="1"/>
      <c r="F85" s="1"/>
      <c r="G85" s="1"/>
      <c r="H85" s="1"/>
      <c r="I85" s="1"/>
      <c r="J85" s="2"/>
      <c r="K85" s="2"/>
      <c r="L85" s="2"/>
      <c r="M85" s="2"/>
      <c r="N85" s="2"/>
      <c r="O85" s="2"/>
      <c r="P85" s="2"/>
      <c r="Q85" s="2"/>
      <c r="R85" s="2"/>
      <c r="S85" s="2"/>
      <c r="T85" s="2"/>
      <c r="U85" s="2"/>
      <c r="V85" s="2"/>
      <c r="W85" s="2"/>
      <c r="X85" s="2"/>
      <c r="Y85" s="2"/>
      <c r="Z85" s="2"/>
    </row>
    <row r="86" ht="15.75" customHeight="1">
      <c r="A86" s="1"/>
      <c r="B86" s="1"/>
      <c r="C86" s="1"/>
      <c r="D86" s="1"/>
      <c r="E86" s="1"/>
      <c r="F86" s="1"/>
      <c r="G86" s="1"/>
      <c r="H86" s="1"/>
      <c r="I86" s="1"/>
      <c r="J86" s="2"/>
      <c r="K86" s="2"/>
      <c r="L86" s="2"/>
      <c r="M86" s="2"/>
      <c r="N86" s="2"/>
      <c r="O86" s="2"/>
      <c r="P86" s="2"/>
      <c r="Q86" s="2"/>
      <c r="R86" s="2"/>
      <c r="S86" s="2"/>
      <c r="T86" s="2"/>
      <c r="U86" s="2"/>
      <c r="V86" s="2"/>
      <c r="W86" s="2"/>
      <c r="X86" s="2"/>
      <c r="Y86" s="2"/>
      <c r="Z86" s="2"/>
    </row>
    <row r="87" ht="15.75" customHeight="1">
      <c r="A87" s="1"/>
      <c r="B87" s="1"/>
      <c r="C87" s="1"/>
      <c r="D87" s="1"/>
      <c r="E87" s="1"/>
      <c r="F87" s="1"/>
      <c r="G87" s="1"/>
      <c r="H87" s="1"/>
      <c r="I87" s="1"/>
      <c r="J87" s="2"/>
      <c r="K87" s="2"/>
      <c r="L87" s="2"/>
      <c r="M87" s="2"/>
      <c r="N87" s="2"/>
      <c r="O87" s="2"/>
      <c r="P87" s="2"/>
      <c r="Q87" s="2"/>
      <c r="R87" s="2"/>
      <c r="S87" s="2"/>
      <c r="T87" s="2"/>
      <c r="U87" s="2"/>
      <c r="V87" s="2"/>
      <c r="W87" s="2"/>
      <c r="X87" s="2"/>
      <c r="Y87" s="2"/>
      <c r="Z87" s="2"/>
    </row>
    <row r="88" ht="15.75" customHeight="1">
      <c r="A88" s="1"/>
      <c r="B88" s="1"/>
      <c r="C88" s="1"/>
      <c r="D88" s="1"/>
      <c r="E88" s="1"/>
      <c r="F88" s="1"/>
      <c r="G88" s="1"/>
      <c r="H88" s="1"/>
      <c r="I88" s="1"/>
      <c r="J88" s="2"/>
      <c r="K88" s="2"/>
      <c r="L88" s="2"/>
      <c r="M88" s="2"/>
      <c r="N88" s="2"/>
      <c r="O88" s="2"/>
      <c r="P88" s="2"/>
      <c r="Q88" s="2"/>
      <c r="R88" s="2"/>
      <c r="S88" s="2"/>
      <c r="T88" s="2"/>
      <c r="U88" s="2"/>
      <c r="V88" s="2"/>
      <c r="W88" s="2"/>
      <c r="X88" s="2"/>
      <c r="Y88" s="2"/>
      <c r="Z88" s="2"/>
    </row>
    <row r="89" ht="15.75" customHeight="1">
      <c r="A89" s="1"/>
      <c r="B89" s="1"/>
      <c r="C89" s="1"/>
      <c r="D89" s="1"/>
      <c r="E89" s="1"/>
      <c r="F89" s="1"/>
      <c r="G89" s="1"/>
      <c r="H89" s="1"/>
      <c r="I89" s="1"/>
      <c r="J89" s="2"/>
      <c r="K89" s="2"/>
      <c r="L89" s="2"/>
      <c r="M89" s="2"/>
      <c r="N89" s="2"/>
      <c r="O89" s="2"/>
      <c r="P89" s="2"/>
      <c r="Q89" s="2"/>
      <c r="R89" s="2"/>
      <c r="S89" s="2"/>
      <c r="T89" s="2"/>
      <c r="U89" s="2"/>
      <c r="V89" s="2"/>
      <c r="W89" s="2"/>
      <c r="X89" s="2"/>
      <c r="Y89" s="2"/>
      <c r="Z89" s="2"/>
    </row>
    <row r="90" ht="15.75" customHeight="1">
      <c r="A90" s="1"/>
      <c r="B90" s="1"/>
      <c r="C90" s="1"/>
      <c r="D90" s="1"/>
      <c r="E90" s="1"/>
      <c r="F90" s="1"/>
      <c r="G90" s="1"/>
      <c r="H90" s="1"/>
      <c r="I90" s="1"/>
      <c r="J90" s="2"/>
      <c r="K90" s="2"/>
      <c r="L90" s="2"/>
      <c r="M90" s="2"/>
      <c r="N90" s="2"/>
      <c r="O90" s="2"/>
      <c r="P90" s="2"/>
      <c r="Q90" s="2"/>
      <c r="R90" s="2"/>
      <c r="S90" s="2"/>
      <c r="T90" s="2"/>
      <c r="U90" s="2"/>
      <c r="V90" s="2"/>
      <c r="W90" s="2"/>
      <c r="X90" s="2"/>
      <c r="Y90" s="2"/>
      <c r="Z90" s="2"/>
    </row>
    <row r="91" ht="15.75" customHeight="1">
      <c r="A91" s="1"/>
      <c r="B91" s="1"/>
      <c r="C91" s="1"/>
      <c r="D91" s="1"/>
      <c r="E91" s="1"/>
      <c r="F91" s="1"/>
      <c r="G91" s="1"/>
      <c r="H91" s="1"/>
      <c r="I91" s="1"/>
      <c r="J91" s="2"/>
      <c r="K91" s="2"/>
      <c r="L91" s="2"/>
      <c r="M91" s="2"/>
      <c r="N91" s="2"/>
      <c r="O91" s="2"/>
      <c r="P91" s="2"/>
      <c r="Q91" s="2"/>
      <c r="R91" s="2"/>
      <c r="S91" s="2"/>
      <c r="T91" s="2"/>
      <c r="U91" s="2"/>
      <c r="V91" s="2"/>
      <c r="W91" s="2"/>
      <c r="X91" s="2"/>
      <c r="Y91" s="2"/>
      <c r="Z91" s="2"/>
    </row>
    <row r="92" ht="15.75" customHeight="1">
      <c r="A92" s="1"/>
      <c r="B92" s="1"/>
      <c r="C92" s="1"/>
      <c r="D92" s="1"/>
      <c r="E92" s="1"/>
      <c r="F92" s="1"/>
      <c r="G92" s="1"/>
      <c r="H92" s="1"/>
      <c r="I92" s="1"/>
      <c r="J92" s="2"/>
      <c r="K92" s="2"/>
      <c r="L92" s="2"/>
      <c r="M92" s="2"/>
      <c r="N92" s="2"/>
      <c r="O92" s="2"/>
      <c r="P92" s="2"/>
      <c r="Q92" s="2"/>
      <c r="R92" s="2"/>
      <c r="S92" s="2"/>
      <c r="T92" s="2"/>
      <c r="U92" s="2"/>
      <c r="V92" s="2"/>
      <c r="W92" s="2"/>
      <c r="X92" s="2"/>
      <c r="Y92" s="2"/>
      <c r="Z92" s="2"/>
    </row>
    <row r="93" ht="15.75" customHeight="1">
      <c r="A93" s="1"/>
      <c r="B93" s="1"/>
      <c r="C93" s="1"/>
      <c r="D93" s="1"/>
      <c r="E93" s="1"/>
      <c r="F93" s="1"/>
      <c r="G93" s="1"/>
      <c r="H93" s="1"/>
      <c r="I93" s="1"/>
      <c r="J93" s="2"/>
      <c r="K93" s="2"/>
      <c r="L93" s="2"/>
      <c r="M93" s="2"/>
      <c r="N93" s="2"/>
      <c r="O93" s="2"/>
      <c r="P93" s="2"/>
      <c r="Q93" s="2"/>
      <c r="R93" s="2"/>
      <c r="S93" s="2"/>
      <c r="T93" s="2"/>
      <c r="U93" s="2"/>
      <c r="V93" s="2"/>
      <c r="W93" s="2"/>
      <c r="X93" s="2"/>
      <c r="Y93" s="2"/>
      <c r="Z93" s="2"/>
    </row>
    <row r="94" ht="15.75" customHeight="1">
      <c r="A94" s="1"/>
      <c r="B94" s="1"/>
      <c r="C94" s="1"/>
      <c r="D94" s="1"/>
      <c r="E94" s="1"/>
      <c r="F94" s="1"/>
      <c r="G94" s="1"/>
      <c r="H94" s="1"/>
      <c r="I94" s="1"/>
      <c r="J94" s="2"/>
      <c r="K94" s="2"/>
      <c r="L94" s="2"/>
      <c r="M94" s="2"/>
      <c r="N94" s="2"/>
      <c r="O94" s="2"/>
      <c r="P94" s="2"/>
      <c r="Q94" s="2"/>
      <c r="R94" s="2"/>
      <c r="S94" s="2"/>
      <c r="T94" s="2"/>
      <c r="U94" s="2"/>
      <c r="V94" s="2"/>
      <c r="W94" s="2"/>
      <c r="X94" s="2"/>
      <c r="Y94" s="2"/>
      <c r="Z94" s="2"/>
    </row>
    <row r="95" ht="15.75" customHeight="1">
      <c r="A95" s="1"/>
      <c r="B95" s="1"/>
      <c r="C95" s="1"/>
      <c r="D95" s="1"/>
      <c r="E95" s="1"/>
      <c r="F95" s="1"/>
      <c r="G95" s="1"/>
      <c r="H95" s="1"/>
      <c r="I95" s="1"/>
      <c r="J95" s="2"/>
      <c r="K95" s="2"/>
      <c r="L95" s="2"/>
      <c r="M95" s="2"/>
      <c r="N95" s="2"/>
      <c r="O95" s="2"/>
      <c r="P95" s="2"/>
      <c r="Q95" s="2"/>
      <c r="R95" s="2"/>
      <c r="S95" s="2"/>
      <c r="T95" s="2"/>
      <c r="U95" s="2"/>
      <c r="V95" s="2"/>
      <c r="W95" s="2"/>
      <c r="X95" s="2"/>
      <c r="Y95" s="2"/>
      <c r="Z95" s="2"/>
    </row>
    <row r="96" ht="15.75" customHeight="1">
      <c r="A96" s="1"/>
      <c r="B96" s="1"/>
      <c r="C96" s="1"/>
      <c r="D96" s="1"/>
      <c r="E96" s="1"/>
      <c r="F96" s="1"/>
      <c r="G96" s="1"/>
      <c r="H96" s="1"/>
      <c r="I96" s="1"/>
      <c r="J96" s="2"/>
      <c r="K96" s="2"/>
      <c r="L96" s="2"/>
      <c r="M96" s="2"/>
      <c r="N96" s="2"/>
      <c r="O96" s="2"/>
      <c r="P96" s="2"/>
      <c r="Q96" s="2"/>
      <c r="R96" s="2"/>
      <c r="S96" s="2"/>
      <c r="T96" s="2"/>
      <c r="U96" s="2"/>
      <c r="V96" s="2"/>
      <c r="W96" s="2"/>
      <c r="X96" s="2"/>
      <c r="Y96" s="2"/>
      <c r="Z96" s="2"/>
    </row>
    <row r="97" ht="15.75" customHeight="1">
      <c r="A97" s="1"/>
      <c r="B97" s="1"/>
      <c r="C97" s="1"/>
      <c r="D97" s="1"/>
      <c r="E97" s="1"/>
      <c r="F97" s="1"/>
      <c r="G97" s="1"/>
      <c r="H97" s="1"/>
      <c r="I97" s="1"/>
      <c r="J97" s="2"/>
      <c r="K97" s="2"/>
      <c r="L97" s="2"/>
      <c r="M97" s="2"/>
      <c r="N97" s="2"/>
      <c r="O97" s="2"/>
      <c r="P97" s="2"/>
      <c r="Q97" s="2"/>
      <c r="R97" s="2"/>
      <c r="S97" s="2"/>
      <c r="T97" s="2"/>
      <c r="U97" s="2"/>
      <c r="V97" s="2"/>
      <c r="W97" s="2"/>
      <c r="X97" s="2"/>
      <c r="Y97" s="2"/>
      <c r="Z97" s="2"/>
    </row>
    <row r="98" ht="15.75" customHeight="1">
      <c r="A98" s="1"/>
      <c r="B98" s="1"/>
      <c r="C98" s="1"/>
      <c r="D98" s="1"/>
      <c r="E98" s="1"/>
      <c r="F98" s="1"/>
      <c r="G98" s="1"/>
      <c r="H98" s="1"/>
      <c r="I98" s="1"/>
      <c r="J98" s="2"/>
      <c r="K98" s="2"/>
      <c r="L98" s="2"/>
      <c r="M98" s="2"/>
      <c r="N98" s="2"/>
      <c r="O98" s="2"/>
      <c r="P98" s="2"/>
      <c r="Q98" s="2"/>
      <c r="R98" s="2"/>
      <c r="S98" s="2"/>
      <c r="T98" s="2"/>
      <c r="U98" s="2"/>
      <c r="V98" s="2"/>
      <c r="W98" s="2"/>
      <c r="X98" s="2"/>
      <c r="Y98" s="2"/>
      <c r="Z98" s="2"/>
    </row>
    <row r="99" ht="15.75" customHeight="1">
      <c r="A99" s="1"/>
      <c r="B99" s="1"/>
      <c r="C99" s="1"/>
      <c r="D99" s="1"/>
      <c r="E99" s="1"/>
      <c r="F99" s="1"/>
      <c r="G99" s="1"/>
      <c r="H99" s="1"/>
      <c r="I99" s="1"/>
      <c r="J99" s="2"/>
      <c r="K99" s="2"/>
      <c r="L99" s="2"/>
      <c r="M99" s="2"/>
      <c r="N99" s="2"/>
      <c r="O99" s="2"/>
      <c r="P99" s="2"/>
      <c r="Q99" s="2"/>
      <c r="R99" s="2"/>
      <c r="S99" s="2"/>
      <c r="T99" s="2"/>
      <c r="U99" s="2"/>
      <c r="V99" s="2"/>
      <c r="W99" s="2"/>
      <c r="X99" s="2"/>
      <c r="Y99" s="2"/>
      <c r="Z99" s="2"/>
    </row>
    <row r="100" ht="15.75" customHeight="1">
      <c r="A100" s="1"/>
      <c r="B100" s="1"/>
      <c r="C100" s="1"/>
      <c r="D100" s="1"/>
      <c r="E100" s="1"/>
      <c r="F100" s="1"/>
      <c r="G100" s="1"/>
      <c r="H100" s="1"/>
      <c r="I100" s="1"/>
      <c r="J100" s="2"/>
      <c r="K100" s="2"/>
      <c r="L100" s="2"/>
      <c r="M100" s="2"/>
      <c r="N100" s="2"/>
      <c r="O100" s="2"/>
      <c r="P100" s="2"/>
      <c r="Q100" s="2"/>
      <c r="R100" s="2"/>
      <c r="S100" s="2"/>
      <c r="T100" s="2"/>
      <c r="U100" s="2"/>
      <c r="V100" s="2"/>
      <c r="W100" s="2"/>
      <c r="X100" s="2"/>
      <c r="Y100" s="2"/>
      <c r="Z100" s="2"/>
    </row>
    <row r="101" ht="15.75" customHeight="1">
      <c r="A101" s="1"/>
      <c r="B101" s="1"/>
      <c r="C101" s="1"/>
      <c r="D101" s="1"/>
      <c r="E101" s="1"/>
      <c r="F101" s="1"/>
      <c r="G101" s="1"/>
      <c r="H101" s="1"/>
      <c r="I101" s="1"/>
      <c r="J101" s="2"/>
      <c r="K101" s="2"/>
      <c r="L101" s="2"/>
      <c r="M101" s="2"/>
      <c r="N101" s="2"/>
      <c r="O101" s="2"/>
      <c r="P101" s="2"/>
      <c r="Q101" s="2"/>
      <c r="R101" s="2"/>
      <c r="S101" s="2"/>
      <c r="T101" s="2"/>
      <c r="U101" s="2"/>
      <c r="V101" s="2"/>
      <c r="W101" s="2"/>
      <c r="X101" s="2"/>
      <c r="Y101" s="2"/>
      <c r="Z101" s="2"/>
    </row>
    <row r="102" ht="15.75" customHeight="1">
      <c r="A102" s="1"/>
      <c r="B102" s="1"/>
      <c r="C102" s="1"/>
      <c r="D102" s="1"/>
      <c r="E102" s="1"/>
      <c r="F102" s="1"/>
      <c r="G102" s="1"/>
      <c r="H102" s="1"/>
      <c r="I102" s="1"/>
      <c r="J102" s="2"/>
      <c r="K102" s="2"/>
      <c r="L102" s="2"/>
      <c r="M102" s="2"/>
      <c r="N102" s="2"/>
      <c r="O102" s="2"/>
      <c r="P102" s="2"/>
      <c r="Q102" s="2"/>
      <c r="R102" s="2"/>
      <c r="S102" s="2"/>
      <c r="T102" s="2"/>
      <c r="U102" s="2"/>
      <c r="V102" s="2"/>
      <c r="W102" s="2"/>
      <c r="X102" s="2"/>
      <c r="Y102" s="2"/>
      <c r="Z102" s="2"/>
    </row>
    <row r="103" ht="15.75" customHeight="1">
      <c r="A103" s="1"/>
      <c r="B103" s="1"/>
      <c r="C103" s="1"/>
      <c r="D103" s="1"/>
      <c r="E103" s="1"/>
      <c r="F103" s="1"/>
      <c r="G103" s="1"/>
      <c r="H103" s="1"/>
      <c r="I103" s="1"/>
      <c r="J103" s="2"/>
      <c r="K103" s="2"/>
      <c r="L103" s="2"/>
      <c r="M103" s="2"/>
      <c r="N103" s="2"/>
      <c r="O103" s="2"/>
      <c r="P103" s="2"/>
      <c r="Q103" s="2"/>
      <c r="R103" s="2"/>
      <c r="S103" s="2"/>
      <c r="T103" s="2"/>
      <c r="U103" s="2"/>
      <c r="V103" s="2"/>
      <c r="W103" s="2"/>
      <c r="X103" s="2"/>
      <c r="Y103" s="2"/>
      <c r="Z103" s="2"/>
    </row>
    <row r="104" ht="15.75" customHeight="1">
      <c r="A104" s="1"/>
      <c r="B104" s="1"/>
      <c r="C104" s="1"/>
      <c r="D104" s="1"/>
      <c r="E104" s="1"/>
      <c r="F104" s="1"/>
      <c r="G104" s="1"/>
      <c r="H104" s="1"/>
      <c r="I104" s="1"/>
      <c r="J104" s="2"/>
      <c r="K104" s="2"/>
      <c r="L104" s="2"/>
      <c r="M104" s="2"/>
      <c r="N104" s="2"/>
      <c r="O104" s="2"/>
      <c r="P104" s="2"/>
      <c r="Q104" s="2"/>
      <c r="R104" s="2"/>
      <c r="S104" s="2"/>
      <c r="T104" s="2"/>
      <c r="U104" s="2"/>
      <c r="V104" s="2"/>
      <c r="W104" s="2"/>
      <c r="X104" s="2"/>
      <c r="Y104" s="2"/>
      <c r="Z104" s="2"/>
    </row>
    <row r="105" ht="15.75" customHeight="1">
      <c r="A105" s="1"/>
      <c r="B105" s="1"/>
      <c r="C105" s="1"/>
      <c r="D105" s="1"/>
      <c r="E105" s="1"/>
      <c r="F105" s="1"/>
      <c r="G105" s="1"/>
      <c r="H105" s="1"/>
      <c r="I105" s="1"/>
      <c r="J105" s="2"/>
      <c r="K105" s="2"/>
      <c r="L105" s="2"/>
      <c r="M105" s="2"/>
      <c r="N105" s="2"/>
      <c r="O105" s="2"/>
      <c r="P105" s="2"/>
      <c r="Q105" s="2"/>
      <c r="R105" s="2"/>
      <c r="S105" s="2"/>
      <c r="T105" s="2"/>
      <c r="U105" s="2"/>
      <c r="V105" s="2"/>
      <c r="W105" s="2"/>
      <c r="X105" s="2"/>
      <c r="Y105" s="2"/>
      <c r="Z105" s="2"/>
    </row>
    <row r="106" ht="15.75" customHeight="1">
      <c r="A106" s="1"/>
      <c r="B106" s="1"/>
      <c r="C106" s="1"/>
      <c r="D106" s="1"/>
      <c r="E106" s="1"/>
      <c r="F106" s="1"/>
      <c r="G106" s="1"/>
      <c r="H106" s="1"/>
      <c r="I106" s="1"/>
      <c r="J106" s="2"/>
      <c r="K106" s="2"/>
      <c r="L106" s="2"/>
      <c r="M106" s="2"/>
      <c r="N106" s="2"/>
      <c r="O106" s="2"/>
      <c r="P106" s="2"/>
      <c r="Q106" s="2"/>
      <c r="R106" s="2"/>
      <c r="S106" s="2"/>
      <c r="T106" s="2"/>
      <c r="U106" s="2"/>
      <c r="V106" s="2"/>
      <c r="W106" s="2"/>
      <c r="X106" s="2"/>
      <c r="Y106" s="2"/>
      <c r="Z106" s="2"/>
    </row>
    <row r="107" ht="15.75" customHeight="1">
      <c r="A107" s="1"/>
      <c r="B107" s="1"/>
      <c r="C107" s="1"/>
      <c r="D107" s="1"/>
      <c r="E107" s="1"/>
      <c r="F107" s="1"/>
      <c r="G107" s="1"/>
      <c r="H107" s="1"/>
      <c r="I107" s="1"/>
      <c r="J107" s="2"/>
      <c r="K107" s="2"/>
      <c r="L107" s="2"/>
      <c r="M107" s="2"/>
      <c r="N107" s="2"/>
      <c r="O107" s="2"/>
      <c r="P107" s="2"/>
      <c r="Q107" s="2"/>
      <c r="R107" s="2"/>
      <c r="S107" s="2"/>
      <c r="T107" s="2"/>
      <c r="U107" s="2"/>
      <c r="V107" s="2"/>
      <c r="W107" s="2"/>
      <c r="X107" s="2"/>
      <c r="Y107" s="2"/>
      <c r="Z107" s="2"/>
    </row>
    <row r="108" ht="15.75" customHeight="1">
      <c r="A108" s="1"/>
      <c r="B108" s="1"/>
      <c r="C108" s="1"/>
      <c r="D108" s="1"/>
      <c r="E108" s="1"/>
      <c r="F108" s="1"/>
      <c r="G108" s="1"/>
      <c r="H108" s="1"/>
      <c r="I108" s="1"/>
      <c r="J108" s="2"/>
      <c r="K108" s="2"/>
      <c r="L108" s="2"/>
      <c r="M108" s="2"/>
      <c r="N108" s="2"/>
      <c r="O108" s="2"/>
      <c r="P108" s="2"/>
      <c r="Q108" s="2"/>
      <c r="R108" s="2"/>
      <c r="S108" s="2"/>
      <c r="T108" s="2"/>
      <c r="U108" s="2"/>
      <c r="V108" s="2"/>
      <c r="W108" s="2"/>
      <c r="X108" s="2"/>
      <c r="Y108" s="2"/>
      <c r="Z108" s="2"/>
    </row>
    <row r="109" ht="15.75" customHeight="1">
      <c r="A109" s="1"/>
      <c r="B109" s="1"/>
      <c r="C109" s="1"/>
      <c r="D109" s="1"/>
      <c r="E109" s="1"/>
      <c r="F109" s="1"/>
      <c r="G109" s="1"/>
      <c r="H109" s="1"/>
      <c r="I109" s="1"/>
      <c r="J109" s="2"/>
      <c r="K109" s="2"/>
      <c r="L109" s="2"/>
      <c r="M109" s="2"/>
      <c r="N109" s="2"/>
      <c r="O109" s="2"/>
      <c r="P109" s="2"/>
      <c r="Q109" s="2"/>
      <c r="R109" s="2"/>
      <c r="S109" s="2"/>
      <c r="T109" s="2"/>
      <c r="U109" s="2"/>
      <c r="V109" s="2"/>
      <c r="W109" s="2"/>
      <c r="X109" s="2"/>
      <c r="Y109" s="2"/>
      <c r="Z109" s="2"/>
    </row>
    <row r="110" ht="15.75" customHeight="1">
      <c r="A110" s="1"/>
      <c r="B110" s="1"/>
      <c r="C110" s="1"/>
      <c r="D110" s="1"/>
      <c r="E110" s="1"/>
      <c r="F110" s="1"/>
      <c r="G110" s="1"/>
      <c r="H110" s="1"/>
      <c r="I110" s="1"/>
      <c r="J110" s="2"/>
      <c r="K110" s="2"/>
      <c r="L110" s="2"/>
      <c r="M110" s="2"/>
      <c r="N110" s="2"/>
      <c r="O110" s="2"/>
      <c r="P110" s="2"/>
      <c r="Q110" s="2"/>
      <c r="R110" s="2"/>
      <c r="S110" s="2"/>
      <c r="T110" s="2"/>
      <c r="U110" s="2"/>
      <c r="V110" s="2"/>
      <c r="W110" s="2"/>
      <c r="X110" s="2"/>
      <c r="Y110" s="2"/>
      <c r="Z110" s="2"/>
    </row>
    <row r="111" ht="15.75" customHeight="1">
      <c r="A111" s="1"/>
      <c r="B111" s="1"/>
      <c r="C111" s="1"/>
      <c r="D111" s="1"/>
      <c r="E111" s="1"/>
      <c r="F111" s="1"/>
      <c r="G111" s="1"/>
      <c r="H111" s="1"/>
      <c r="I111" s="1"/>
      <c r="J111" s="2"/>
      <c r="K111" s="2"/>
      <c r="L111" s="2"/>
      <c r="M111" s="2"/>
      <c r="N111" s="2"/>
      <c r="O111" s="2"/>
      <c r="P111" s="2"/>
      <c r="Q111" s="2"/>
      <c r="R111" s="2"/>
      <c r="S111" s="2"/>
      <c r="T111" s="2"/>
      <c r="U111" s="2"/>
      <c r="V111" s="2"/>
      <c r="W111" s="2"/>
      <c r="X111" s="2"/>
      <c r="Y111" s="2"/>
      <c r="Z111" s="2"/>
    </row>
    <row r="112" ht="15.75" customHeight="1">
      <c r="A112" s="1"/>
      <c r="B112" s="1"/>
      <c r="C112" s="1"/>
      <c r="D112" s="1"/>
      <c r="E112" s="1"/>
      <c r="F112" s="1"/>
      <c r="G112" s="1"/>
      <c r="H112" s="1"/>
      <c r="I112" s="1"/>
      <c r="J112" s="2"/>
      <c r="K112" s="2"/>
      <c r="L112" s="2"/>
      <c r="M112" s="2"/>
      <c r="N112" s="2"/>
      <c r="O112" s="2"/>
      <c r="P112" s="2"/>
      <c r="Q112" s="2"/>
      <c r="R112" s="2"/>
      <c r="S112" s="2"/>
      <c r="T112" s="2"/>
      <c r="U112" s="2"/>
      <c r="V112" s="2"/>
      <c r="W112" s="2"/>
      <c r="X112" s="2"/>
      <c r="Y112" s="2"/>
      <c r="Z112" s="2"/>
    </row>
    <row r="113" ht="15.75" customHeight="1">
      <c r="A113" s="1"/>
      <c r="B113" s="1"/>
      <c r="C113" s="1"/>
      <c r="D113" s="1"/>
      <c r="E113" s="1"/>
      <c r="F113" s="1"/>
      <c r="G113" s="1"/>
      <c r="H113" s="1"/>
      <c r="I113" s="1"/>
      <c r="J113" s="2"/>
      <c r="K113" s="2"/>
      <c r="L113" s="2"/>
      <c r="M113" s="2"/>
      <c r="N113" s="2"/>
      <c r="O113" s="2"/>
      <c r="P113" s="2"/>
      <c r="Q113" s="2"/>
      <c r="R113" s="2"/>
      <c r="S113" s="2"/>
      <c r="T113" s="2"/>
      <c r="U113" s="2"/>
      <c r="V113" s="2"/>
      <c r="W113" s="2"/>
      <c r="X113" s="2"/>
      <c r="Y113" s="2"/>
      <c r="Z113" s="2"/>
    </row>
    <row r="114" ht="15.75" customHeight="1">
      <c r="A114" s="1"/>
      <c r="B114" s="1"/>
      <c r="C114" s="1"/>
      <c r="D114" s="1"/>
      <c r="E114" s="1"/>
      <c r="F114" s="1"/>
      <c r="G114" s="1"/>
      <c r="H114" s="1"/>
      <c r="I114" s="1"/>
      <c r="J114" s="2"/>
      <c r="K114" s="2"/>
      <c r="L114" s="2"/>
      <c r="M114" s="2"/>
      <c r="N114" s="2"/>
      <c r="O114" s="2"/>
      <c r="P114" s="2"/>
      <c r="Q114" s="2"/>
      <c r="R114" s="2"/>
      <c r="S114" s="2"/>
      <c r="T114" s="2"/>
      <c r="U114" s="2"/>
      <c r="V114" s="2"/>
      <c r="W114" s="2"/>
      <c r="X114" s="2"/>
      <c r="Y114" s="2"/>
      <c r="Z114" s="2"/>
    </row>
    <row r="115" ht="15.75" customHeight="1">
      <c r="A115" s="1"/>
      <c r="B115" s="1"/>
      <c r="C115" s="1"/>
      <c r="D115" s="1"/>
      <c r="E115" s="1"/>
      <c r="F115" s="1"/>
      <c r="G115" s="1"/>
      <c r="H115" s="1"/>
      <c r="I115" s="1"/>
      <c r="J115" s="2"/>
      <c r="K115" s="2"/>
      <c r="L115" s="2"/>
      <c r="M115" s="2"/>
      <c r="N115" s="2"/>
      <c r="O115" s="2"/>
      <c r="P115" s="2"/>
      <c r="Q115" s="2"/>
      <c r="R115" s="2"/>
      <c r="S115" s="2"/>
      <c r="T115" s="2"/>
      <c r="U115" s="2"/>
      <c r="V115" s="2"/>
      <c r="W115" s="2"/>
      <c r="X115" s="2"/>
      <c r="Y115" s="2"/>
      <c r="Z115" s="2"/>
    </row>
    <row r="116" ht="15.75" customHeight="1">
      <c r="A116" s="1"/>
      <c r="B116" s="1"/>
      <c r="C116" s="1"/>
      <c r="D116" s="1"/>
      <c r="E116" s="1"/>
      <c r="F116" s="1"/>
      <c r="G116" s="1"/>
      <c r="H116" s="1"/>
      <c r="I116" s="1"/>
      <c r="J116" s="2"/>
      <c r="K116" s="2"/>
      <c r="L116" s="2"/>
      <c r="M116" s="2"/>
      <c r="N116" s="2"/>
      <c r="O116" s="2"/>
      <c r="P116" s="2"/>
      <c r="Q116" s="2"/>
      <c r="R116" s="2"/>
      <c r="S116" s="2"/>
      <c r="T116" s="2"/>
      <c r="U116" s="2"/>
      <c r="V116" s="2"/>
      <c r="W116" s="2"/>
      <c r="X116" s="2"/>
      <c r="Y116" s="2"/>
      <c r="Z116" s="2"/>
    </row>
    <row r="117" ht="15.75" customHeight="1">
      <c r="A117" s="1"/>
      <c r="B117" s="1"/>
      <c r="C117" s="1"/>
      <c r="D117" s="1"/>
      <c r="E117" s="1"/>
      <c r="F117" s="1"/>
      <c r="G117" s="1"/>
      <c r="H117" s="1"/>
      <c r="I117" s="1"/>
      <c r="J117" s="2"/>
      <c r="K117" s="2"/>
      <c r="L117" s="2"/>
      <c r="M117" s="2"/>
      <c r="N117" s="2"/>
      <c r="O117" s="2"/>
      <c r="P117" s="2"/>
      <c r="Q117" s="2"/>
      <c r="R117" s="2"/>
      <c r="S117" s="2"/>
      <c r="T117" s="2"/>
      <c r="U117" s="2"/>
      <c r="V117" s="2"/>
      <c r="W117" s="2"/>
      <c r="X117" s="2"/>
      <c r="Y117" s="2"/>
      <c r="Z117" s="2"/>
    </row>
    <row r="118" ht="15.75" customHeight="1">
      <c r="A118" s="1"/>
      <c r="B118" s="1"/>
      <c r="C118" s="1"/>
      <c r="D118" s="1"/>
      <c r="E118" s="1"/>
      <c r="F118" s="1"/>
      <c r="G118" s="1"/>
      <c r="H118" s="1"/>
      <c r="I118" s="1"/>
      <c r="J118" s="2"/>
      <c r="K118" s="2"/>
      <c r="L118" s="2"/>
      <c r="M118" s="2"/>
      <c r="N118" s="2"/>
      <c r="O118" s="2"/>
      <c r="P118" s="2"/>
      <c r="Q118" s="2"/>
      <c r="R118" s="2"/>
      <c r="S118" s="2"/>
      <c r="T118" s="2"/>
      <c r="U118" s="2"/>
      <c r="V118" s="2"/>
      <c r="W118" s="2"/>
      <c r="X118" s="2"/>
      <c r="Y118" s="2"/>
      <c r="Z118" s="2"/>
    </row>
    <row r="119" ht="15.75" customHeight="1">
      <c r="A119" s="1"/>
      <c r="B119" s="1"/>
      <c r="C119" s="1"/>
      <c r="D119" s="1"/>
      <c r="E119" s="1"/>
      <c r="F119" s="1"/>
      <c r="G119" s="1"/>
      <c r="H119" s="1"/>
      <c r="I119" s="1"/>
      <c r="J119" s="2"/>
      <c r="K119" s="2"/>
      <c r="L119" s="2"/>
      <c r="M119" s="2"/>
      <c r="N119" s="2"/>
      <c r="O119" s="2"/>
      <c r="P119" s="2"/>
      <c r="Q119" s="2"/>
      <c r="R119" s="2"/>
      <c r="S119" s="2"/>
      <c r="T119" s="2"/>
      <c r="U119" s="2"/>
      <c r="V119" s="2"/>
      <c r="W119" s="2"/>
      <c r="X119" s="2"/>
      <c r="Y119" s="2"/>
      <c r="Z119" s="2"/>
    </row>
    <row r="120" ht="15.75" customHeight="1">
      <c r="A120" s="1"/>
      <c r="B120" s="1"/>
      <c r="C120" s="1"/>
      <c r="D120" s="1"/>
      <c r="E120" s="1"/>
      <c r="F120" s="1"/>
      <c r="G120" s="1"/>
      <c r="H120" s="1"/>
      <c r="I120" s="1"/>
      <c r="J120" s="2"/>
      <c r="K120" s="2"/>
      <c r="L120" s="2"/>
      <c r="M120" s="2"/>
      <c r="N120" s="2"/>
      <c r="O120" s="2"/>
      <c r="P120" s="2"/>
      <c r="Q120" s="2"/>
      <c r="R120" s="2"/>
      <c r="S120" s="2"/>
      <c r="T120" s="2"/>
      <c r="U120" s="2"/>
      <c r="V120" s="2"/>
      <c r="W120" s="2"/>
      <c r="X120" s="2"/>
      <c r="Y120" s="2"/>
      <c r="Z120" s="2"/>
    </row>
    <row r="121" ht="15.75" customHeight="1">
      <c r="A121" s="1"/>
      <c r="B121" s="1"/>
      <c r="C121" s="1"/>
      <c r="D121" s="1"/>
      <c r="E121" s="1"/>
      <c r="F121" s="1"/>
      <c r="G121" s="1"/>
      <c r="H121" s="1"/>
      <c r="I121" s="1"/>
      <c r="J121" s="2"/>
      <c r="K121" s="2"/>
      <c r="L121" s="2"/>
      <c r="M121" s="2"/>
      <c r="N121" s="2"/>
      <c r="O121" s="2"/>
      <c r="P121" s="2"/>
      <c r="Q121" s="2"/>
      <c r="R121" s="2"/>
      <c r="S121" s="2"/>
      <c r="T121" s="2"/>
      <c r="U121" s="2"/>
      <c r="V121" s="2"/>
      <c r="W121" s="2"/>
      <c r="X121" s="2"/>
      <c r="Y121" s="2"/>
      <c r="Z121" s="2"/>
    </row>
    <row r="122" ht="15.75" customHeight="1">
      <c r="A122" s="1"/>
      <c r="B122" s="1"/>
      <c r="C122" s="1"/>
      <c r="D122" s="1"/>
      <c r="E122" s="1"/>
      <c r="F122" s="1"/>
      <c r="G122" s="1"/>
      <c r="H122" s="1"/>
      <c r="I122" s="1"/>
      <c r="J122" s="2"/>
      <c r="K122" s="2"/>
      <c r="L122" s="2"/>
      <c r="M122" s="2"/>
      <c r="N122" s="2"/>
      <c r="O122" s="2"/>
      <c r="P122" s="2"/>
      <c r="Q122" s="2"/>
      <c r="R122" s="2"/>
      <c r="S122" s="2"/>
      <c r="T122" s="2"/>
      <c r="U122" s="2"/>
      <c r="V122" s="2"/>
      <c r="W122" s="2"/>
      <c r="X122" s="2"/>
      <c r="Y122" s="2"/>
      <c r="Z122" s="2"/>
    </row>
    <row r="123" ht="15.75" customHeight="1">
      <c r="A123" s="1"/>
      <c r="B123" s="1"/>
      <c r="C123" s="1"/>
      <c r="D123" s="1"/>
      <c r="E123" s="1"/>
      <c r="F123" s="1"/>
      <c r="G123" s="1"/>
      <c r="H123" s="1"/>
      <c r="I123" s="1"/>
      <c r="J123" s="2"/>
      <c r="K123" s="2"/>
      <c r="L123" s="2"/>
      <c r="M123" s="2"/>
      <c r="N123" s="2"/>
      <c r="O123" s="2"/>
      <c r="P123" s="2"/>
      <c r="Q123" s="2"/>
      <c r="R123" s="2"/>
      <c r="S123" s="2"/>
      <c r="T123" s="2"/>
      <c r="U123" s="2"/>
      <c r="V123" s="2"/>
      <c r="W123" s="2"/>
      <c r="X123" s="2"/>
      <c r="Y123" s="2"/>
      <c r="Z123" s="2"/>
    </row>
    <row r="124" ht="15.75" customHeight="1">
      <c r="A124" s="1"/>
      <c r="B124" s="1"/>
      <c r="C124" s="1"/>
      <c r="D124" s="1"/>
      <c r="E124" s="1"/>
      <c r="F124" s="1"/>
      <c r="G124" s="1"/>
      <c r="H124" s="1"/>
      <c r="I124" s="1"/>
      <c r="J124" s="2"/>
      <c r="K124" s="2"/>
      <c r="L124" s="2"/>
      <c r="M124" s="2"/>
      <c r="N124" s="2"/>
      <c r="O124" s="2"/>
      <c r="P124" s="2"/>
      <c r="Q124" s="2"/>
      <c r="R124" s="2"/>
      <c r="S124" s="2"/>
      <c r="T124" s="2"/>
      <c r="U124" s="2"/>
      <c r="V124" s="2"/>
      <c r="W124" s="2"/>
      <c r="X124" s="2"/>
      <c r="Y124" s="2"/>
      <c r="Z124" s="2"/>
    </row>
    <row r="125" ht="15.75" customHeight="1">
      <c r="A125" s="1"/>
      <c r="B125" s="1"/>
      <c r="C125" s="1"/>
      <c r="D125" s="1"/>
      <c r="E125" s="1"/>
      <c r="F125" s="1"/>
      <c r="G125" s="1"/>
      <c r="H125" s="1"/>
      <c r="I125" s="1"/>
      <c r="J125" s="2"/>
      <c r="K125" s="2"/>
      <c r="L125" s="2"/>
      <c r="M125" s="2"/>
      <c r="N125" s="2"/>
      <c r="O125" s="2"/>
      <c r="P125" s="2"/>
      <c r="Q125" s="2"/>
      <c r="R125" s="2"/>
      <c r="S125" s="2"/>
      <c r="T125" s="2"/>
      <c r="U125" s="2"/>
      <c r="V125" s="2"/>
      <c r="W125" s="2"/>
      <c r="X125" s="2"/>
      <c r="Y125" s="2"/>
      <c r="Z125" s="2"/>
    </row>
    <row r="126" ht="15.75" customHeight="1">
      <c r="A126" s="1"/>
      <c r="B126" s="1"/>
      <c r="C126" s="1"/>
      <c r="D126" s="1"/>
      <c r="E126" s="1"/>
      <c r="F126" s="1"/>
      <c r="G126" s="1"/>
      <c r="H126" s="1"/>
      <c r="I126" s="1"/>
      <c r="J126" s="2"/>
      <c r="K126" s="2"/>
      <c r="L126" s="2"/>
      <c r="M126" s="2"/>
      <c r="N126" s="2"/>
      <c r="O126" s="2"/>
      <c r="P126" s="2"/>
      <c r="Q126" s="2"/>
      <c r="R126" s="2"/>
      <c r="S126" s="2"/>
      <c r="T126" s="2"/>
      <c r="U126" s="2"/>
      <c r="V126" s="2"/>
      <c r="W126" s="2"/>
      <c r="X126" s="2"/>
      <c r="Y126" s="2"/>
      <c r="Z126" s="2"/>
    </row>
    <row r="127" ht="15.75" customHeight="1">
      <c r="A127" s="1"/>
      <c r="B127" s="1"/>
      <c r="C127" s="1"/>
      <c r="D127" s="1"/>
      <c r="E127" s="1"/>
      <c r="F127" s="1"/>
      <c r="G127" s="1"/>
      <c r="H127" s="1"/>
      <c r="I127" s="1"/>
      <c r="J127" s="2"/>
      <c r="K127" s="2"/>
      <c r="L127" s="2"/>
      <c r="M127" s="2"/>
      <c r="N127" s="2"/>
      <c r="O127" s="2"/>
      <c r="P127" s="2"/>
      <c r="Q127" s="2"/>
      <c r="R127" s="2"/>
      <c r="S127" s="2"/>
      <c r="T127" s="2"/>
      <c r="U127" s="2"/>
      <c r="V127" s="2"/>
      <c r="W127" s="2"/>
      <c r="X127" s="2"/>
      <c r="Y127" s="2"/>
      <c r="Z127" s="2"/>
    </row>
    <row r="128" ht="15.75" customHeight="1">
      <c r="A128" s="1"/>
      <c r="B128" s="1"/>
      <c r="C128" s="1"/>
      <c r="D128" s="1"/>
      <c r="E128" s="1"/>
      <c r="F128" s="1"/>
      <c r="G128" s="1"/>
      <c r="H128" s="1"/>
      <c r="I128" s="1"/>
      <c r="J128" s="2"/>
      <c r="K128" s="2"/>
      <c r="L128" s="2"/>
      <c r="M128" s="2"/>
      <c r="N128" s="2"/>
      <c r="O128" s="2"/>
      <c r="P128" s="2"/>
      <c r="Q128" s="2"/>
      <c r="R128" s="2"/>
      <c r="S128" s="2"/>
      <c r="T128" s="2"/>
      <c r="U128" s="2"/>
      <c r="V128" s="2"/>
      <c r="W128" s="2"/>
      <c r="X128" s="2"/>
      <c r="Y128" s="2"/>
      <c r="Z128" s="2"/>
    </row>
    <row r="129" ht="15.75" customHeight="1">
      <c r="A129" s="1"/>
      <c r="B129" s="1"/>
      <c r="C129" s="1"/>
      <c r="D129" s="1"/>
      <c r="E129" s="1"/>
      <c r="F129" s="1"/>
      <c r="G129" s="1"/>
      <c r="H129" s="1"/>
      <c r="I129" s="1"/>
      <c r="J129" s="2"/>
      <c r="K129" s="2"/>
      <c r="L129" s="2"/>
      <c r="M129" s="2"/>
      <c r="N129" s="2"/>
      <c r="O129" s="2"/>
      <c r="P129" s="2"/>
      <c r="Q129" s="2"/>
      <c r="R129" s="2"/>
      <c r="S129" s="2"/>
      <c r="T129" s="2"/>
      <c r="U129" s="2"/>
      <c r="V129" s="2"/>
      <c r="W129" s="2"/>
      <c r="X129" s="2"/>
      <c r="Y129" s="2"/>
      <c r="Z129" s="2"/>
    </row>
    <row r="130" ht="15.75" customHeight="1">
      <c r="A130" s="1"/>
      <c r="B130" s="1"/>
      <c r="C130" s="1"/>
      <c r="D130" s="1"/>
      <c r="E130" s="1"/>
      <c r="F130" s="1"/>
      <c r="G130" s="1"/>
      <c r="H130" s="1"/>
      <c r="I130" s="1"/>
      <c r="J130" s="2"/>
      <c r="K130" s="2"/>
      <c r="L130" s="2"/>
      <c r="M130" s="2"/>
      <c r="N130" s="2"/>
      <c r="O130" s="2"/>
      <c r="P130" s="2"/>
      <c r="Q130" s="2"/>
      <c r="R130" s="2"/>
      <c r="S130" s="2"/>
      <c r="T130" s="2"/>
      <c r="U130" s="2"/>
      <c r="V130" s="2"/>
      <c r="W130" s="2"/>
      <c r="X130" s="2"/>
      <c r="Y130" s="2"/>
      <c r="Z130" s="2"/>
    </row>
    <row r="131" ht="15.75" customHeight="1">
      <c r="A131" s="1"/>
      <c r="B131" s="1"/>
      <c r="C131" s="1"/>
      <c r="D131" s="1"/>
      <c r="E131" s="1"/>
      <c r="F131" s="1"/>
      <c r="G131" s="1"/>
      <c r="H131" s="1"/>
      <c r="I131" s="1"/>
      <c r="J131" s="2"/>
      <c r="K131" s="2"/>
      <c r="L131" s="2"/>
      <c r="M131" s="2"/>
      <c r="N131" s="2"/>
      <c r="O131" s="2"/>
      <c r="P131" s="2"/>
      <c r="Q131" s="2"/>
      <c r="R131" s="2"/>
      <c r="S131" s="2"/>
      <c r="T131" s="2"/>
      <c r="U131" s="2"/>
      <c r="V131" s="2"/>
      <c r="W131" s="2"/>
      <c r="X131" s="2"/>
      <c r="Y131" s="2"/>
      <c r="Z131" s="2"/>
    </row>
    <row r="132" ht="15.75" customHeight="1">
      <c r="A132" s="1"/>
      <c r="B132" s="1"/>
      <c r="C132" s="1"/>
      <c r="D132" s="1"/>
      <c r="E132" s="1"/>
      <c r="F132" s="1"/>
      <c r="G132" s="1"/>
      <c r="H132" s="1"/>
      <c r="I132" s="1"/>
      <c r="J132" s="2"/>
      <c r="K132" s="2"/>
      <c r="L132" s="2"/>
      <c r="M132" s="2"/>
      <c r="N132" s="2"/>
      <c r="O132" s="2"/>
      <c r="P132" s="2"/>
      <c r="Q132" s="2"/>
      <c r="R132" s="2"/>
      <c r="S132" s="2"/>
      <c r="T132" s="2"/>
      <c r="U132" s="2"/>
      <c r="V132" s="2"/>
      <c r="W132" s="2"/>
      <c r="X132" s="2"/>
      <c r="Y132" s="2"/>
      <c r="Z132" s="2"/>
    </row>
    <row r="133" ht="15.75" customHeight="1">
      <c r="A133" s="1"/>
      <c r="B133" s="1"/>
      <c r="C133" s="1"/>
      <c r="D133" s="1"/>
      <c r="E133" s="1"/>
      <c r="F133" s="1"/>
      <c r="G133" s="1"/>
      <c r="H133" s="1"/>
      <c r="I133" s="1"/>
      <c r="J133" s="2"/>
      <c r="K133" s="2"/>
      <c r="L133" s="2"/>
      <c r="M133" s="2"/>
      <c r="N133" s="2"/>
      <c r="O133" s="2"/>
      <c r="P133" s="2"/>
      <c r="Q133" s="2"/>
      <c r="R133" s="2"/>
      <c r="S133" s="2"/>
      <c r="T133" s="2"/>
      <c r="U133" s="2"/>
      <c r="V133" s="2"/>
      <c r="W133" s="2"/>
      <c r="X133" s="2"/>
      <c r="Y133" s="2"/>
      <c r="Z133" s="2"/>
    </row>
    <row r="134" ht="15.75" customHeight="1">
      <c r="A134" s="1"/>
      <c r="B134" s="1"/>
      <c r="C134" s="1"/>
      <c r="D134" s="1"/>
      <c r="E134" s="1"/>
      <c r="F134" s="1"/>
      <c r="G134" s="1"/>
      <c r="H134" s="1"/>
      <c r="I134" s="1"/>
      <c r="J134" s="2"/>
      <c r="K134" s="2"/>
      <c r="L134" s="2"/>
      <c r="M134" s="2"/>
      <c r="N134" s="2"/>
      <c r="O134" s="2"/>
      <c r="P134" s="2"/>
      <c r="Q134" s="2"/>
      <c r="R134" s="2"/>
      <c r="S134" s="2"/>
      <c r="T134" s="2"/>
      <c r="U134" s="2"/>
      <c r="V134" s="2"/>
      <c r="W134" s="2"/>
      <c r="X134" s="2"/>
      <c r="Y134" s="2"/>
      <c r="Z134" s="2"/>
    </row>
    <row r="135" ht="15.75" customHeight="1">
      <c r="A135" s="1"/>
      <c r="B135" s="1"/>
      <c r="C135" s="1"/>
      <c r="D135" s="1"/>
      <c r="E135" s="1"/>
      <c r="F135" s="1"/>
      <c r="G135" s="1"/>
      <c r="H135" s="1"/>
      <c r="I135" s="1"/>
      <c r="J135" s="2"/>
      <c r="K135" s="2"/>
      <c r="L135" s="2"/>
      <c r="M135" s="2"/>
      <c r="N135" s="2"/>
      <c r="O135" s="2"/>
      <c r="P135" s="2"/>
      <c r="Q135" s="2"/>
      <c r="R135" s="2"/>
      <c r="S135" s="2"/>
      <c r="T135" s="2"/>
      <c r="U135" s="2"/>
      <c r="V135" s="2"/>
      <c r="W135" s="2"/>
      <c r="X135" s="2"/>
      <c r="Y135" s="2"/>
      <c r="Z135" s="2"/>
    </row>
    <row r="136" ht="15.75" customHeight="1">
      <c r="A136" s="1"/>
      <c r="B136" s="1"/>
      <c r="C136" s="1"/>
      <c r="D136" s="1"/>
      <c r="E136" s="1"/>
      <c r="F136" s="1"/>
      <c r="G136" s="1"/>
      <c r="H136" s="1"/>
      <c r="I136" s="1"/>
      <c r="J136" s="2"/>
      <c r="K136" s="2"/>
      <c r="L136" s="2"/>
      <c r="M136" s="2"/>
      <c r="N136" s="2"/>
      <c r="O136" s="2"/>
      <c r="P136" s="2"/>
      <c r="Q136" s="2"/>
      <c r="R136" s="2"/>
      <c r="S136" s="2"/>
      <c r="T136" s="2"/>
      <c r="U136" s="2"/>
      <c r="V136" s="2"/>
      <c r="W136" s="2"/>
      <c r="X136" s="2"/>
      <c r="Y136" s="2"/>
      <c r="Z136" s="2"/>
    </row>
    <row r="137" ht="15.75" customHeight="1">
      <c r="A137" s="1"/>
      <c r="B137" s="1"/>
      <c r="C137" s="1"/>
      <c r="D137" s="1"/>
      <c r="E137" s="1"/>
      <c r="F137" s="1"/>
      <c r="G137" s="1"/>
      <c r="H137" s="1"/>
      <c r="I137" s="1"/>
      <c r="J137" s="2"/>
      <c r="K137" s="2"/>
      <c r="L137" s="2"/>
      <c r="M137" s="2"/>
      <c r="N137" s="2"/>
      <c r="O137" s="2"/>
      <c r="P137" s="2"/>
      <c r="Q137" s="2"/>
      <c r="R137" s="2"/>
      <c r="S137" s="2"/>
      <c r="T137" s="2"/>
      <c r="U137" s="2"/>
      <c r="V137" s="2"/>
      <c r="W137" s="2"/>
      <c r="X137" s="2"/>
      <c r="Y137" s="2"/>
      <c r="Z137" s="2"/>
    </row>
    <row r="138" ht="15.75" customHeight="1">
      <c r="A138" s="1"/>
      <c r="B138" s="1"/>
      <c r="C138" s="1"/>
      <c r="D138" s="1"/>
      <c r="E138" s="1"/>
      <c r="F138" s="1"/>
      <c r="G138" s="1"/>
      <c r="H138" s="1"/>
      <c r="I138" s="1"/>
      <c r="J138" s="2"/>
      <c r="K138" s="2"/>
      <c r="L138" s="2"/>
      <c r="M138" s="2"/>
      <c r="N138" s="2"/>
      <c r="O138" s="2"/>
      <c r="P138" s="2"/>
      <c r="Q138" s="2"/>
      <c r="R138" s="2"/>
      <c r="S138" s="2"/>
      <c r="T138" s="2"/>
      <c r="U138" s="2"/>
      <c r="V138" s="2"/>
      <c r="W138" s="2"/>
      <c r="X138" s="2"/>
      <c r="Y138" s="2"/>
      <c r="Z138" s="2"/>
    </row>
    <row r="139" ht="15.75" customHeight="1">
      <c r="A139" s="1"/>
      <c r="B139" s="1"/>
      <c r="C139" s="1"/>
      <c r="D139" s="1"/>
      <c r="E139" s="1"/>
      <c r="F139" s="1"/>
      <c r="G139" s="1"/>
      <c r="H139" s="1"/>
      <c r="I139" s="1"/>
      <c r="J139" s="2"/>
      <c r="K139" s="2"/>
      <c r="L139" s="2"/>
      <c r="M139" s="2"/>
      <c r="N139" s="2"/>
      <c r="O139" s="2"/>
      <c r="P139" s="2"/>
      <c r="Q139" s="2"/>
      <c r="R139" s="2"/>
      <c r="S139" s="2"/>
      <c r="T139" s="2"/>
      <c r="U139" s="2"/>
      <c r="V139" s="2"/>
      <c r="W139" s="2"/>
      <c r="X139" s="2"/>
      <c r="Y139" s="2"/>
      <c r="Z139" s="2"/>
    </row>
    <row r="140" ht="15.75" customHeight="1">
      <c r="A140" s="1"/>
      <c r="B140" s="1"/>
      <c r="C140" s="1"/>
      <c r="D140" s="1"/>
      <c r="E140" s="1"/>
      <c r="F140" s="1"/>
      <c r="G140" s="1"/>
      <c r="H140" s="1"/>
      <c r="I140" s="1"/>
      <c r="J140" s="2"/>
      <c r="K140" s="2"/>
      <c r="L140" s="2"/>
      <c r="M140" s="2"/>
      <c r="N140" s="2"/>
      <c r="O140" s="2"/>
      <c r="P140" s="2"/>
      <c r="Q140" s="2"/>
      <c r="R140" s="2"/>
      <c r="S140" s="2"/>
      <c r="T140" s="2"/>
      <c r="U140" s="2"/>
      <c r="V140" s="2"/>
      <c r="W140" s="2"/>
      <c r="X140" s="2"/>
      <c r="Y140" s="2"/>
      <c r="Z140" s="2"/>
    </row>
    <row r="141" ht="15.75" customHeight="1">
      <c r="A141" s="1"/>
      <c r="B141" s="1"/>
      <c r="C141" s="1"/>
      <c r="D141" s="1"/>
      <c r="E141" s="1"/>
      <c r="F141" s="1"/>
      <c r="G141" s="1"/>
      <c r="H141" s="1"/>
      <c r="I141" s="1"/>
      <c r="J141" s="2"/>
      <c r="K141" s="2"/>
      <c r="L141" s="2"/>
      <c r="M141" s="2"/>
      <c r="N141" s="2"/>
      <c r="O141" s="2"/>
      <c r="P141" s="2"/>
      <c r="Q141" s="2"/>
      <c r="R141" s="2"/>
      <c r="S141" s="2"/>
      <c r="T141" s="2"/>
      <c r="U141" s="2"/>
      <c r="V141" s="2"/>
      <c r="W141" s="2"/>
      <c r="X141" s="2"/>
      <c r="Y141" s="2"/>
      <c r="Z141" s="2"/>
    </row>
    <row r="142" ht="15.75" customHeight="1">
      <c r="A142" s="1"/>
      <c r="B142" s="1"/>
      <c r="C142" s="1"/>
      <c r="D142" s="1"/>
      <c r="E142" s="1"/>
      <c r="F142" s="1"/>
      <c r="G142" s="1"/>
      <c r="H142" s="1"/>
      <c r="I142" s="1"/>
      <c r="J142" s="2"/>
      <c r="K142" s="2"/>
      <c r="L142" s="2"/>
      <c r="M142" s="2"/>
      <c r="N142" s="2"/>
      <c r="O142" s="2"/>
      <c r="P142" s="2"/>
      <c r="Q142" s="2"/>
      <c r="R142" s="2"/>
      <c r="S142" s="2"/>
      <c r="T142" s="2"/>
      <c r="U142" s="2"/>
      <c r="V142" s="2"/>
      <c r="W142" s="2"/>
      <c r="X142" s="2"/>
      <c r="Y142" s="2"/>
      <c r="Z142" s="2"/>
    </row>
    <row r="143" ht="15.75" customHeight="1">
      <c r="A143" s="1"/>
      <c r="B143" s="1"/>
      <c r="C143" s="1"/>
      <c r="D143" s="1"/>
      <c r="E143" s="1"/>
      <c r="F143" s="1"/>
      <c r="G143" s="1"/>
      <c r="H143" s="1"/>
      <c r="I143" s="1"/>
      <c r="J143" s="2"/>
      <c r="K143" s="2"/>
      <c r="L143" s="2"/>
      <c r="M143" s="2"/>
      <c r="N143" s="2"/>
      <c r="O143" s="2"/>
      <c r="P143" s="2"/>
      <c r="Q143" s="2"/>
      <c r="R143" s="2"/>
      <c r="S143" s="2"/>
      <c r="T143" s="2"/>
      <c r="U143" s="2"/>
      <c r="V143" s="2"/>
      <c r="W143" s="2"/>
      <c r="X143" s="2"/>
      <c r="Y143" s="2"/>
      <c r="Z143" s="2"/>
    </row>
    <row r="144" ht="15.75" customHeight="1">
      <c r="A144" s="1"/>
      <c r="B144" s="1"/>
      <c r="C144" s="1"/>
      <c r="D144" s="1"/>
      <c r="E144" s="1"/>
      <c r="F144" s="1"/>
      <c r="G144" s="1"/>
      <c r="H144" s="1"/>
      <c r="I144" s="1"/>
      <c r="J144" s="2"/>
      <c r="K144" s="2"/>
      <c r="L144" s="2"/>
      <c r="M144" s="2"/>
      <c r="N144" s="2"/>
      <c r="O144" s="2"/>
      <c r="P144" s="2"/>
      <c r="Q144" s="2"/>
      <c r="R144" s="2"/>
      <c r="S144" s="2"/>
      <c r="T144" s="2"/>
      <c r="U144" s="2"/>
      <c r="V144" s="2"/>
      <c r="W144" s="2"/>
      <c r="X144" s="2"/>
      <c r="Y144" s="2"/>
      <c r="Z144" s="2"/>
    </row>
    <row r="145" ht="15.75" customHeight="1">
      <c r="A145" s="1"/>
      <c r="B145" s="1"/>
      <c r="C145" s="1"/>
      <c r="D145" s="1"/>
      <c r="E145" s="1"/>
      <c r="F145" s="1"/>
      <c r="G145" s="1"/>
      <c r="H145" s="1"/>
      <c r="I145" s="1"/>
      <c r="J145" s="2"/>
      <c r="K145" s="2"/>
      <c r="L145" s="2"/>
      <c r="M145" s="2"/>
      <c r="N145" s="2"/>
      <c r="O145" s="2"/>
      <c r="P145" s="2"/>
      <c r="Q145" s="2"/>
      <c r="R145" s="2"/>
      <c r="S145" s="2"/>
      <c r="T145" s="2"/>
      <c r="U145" s="2"/>
      <c r="V145" s="2"/>
      <c r="W145" s="2"/>
      <c r="X145" s="2"/>
      <c r="Y145" s="2"/>
      <c r="Z145" s="2"/>
    </row>
    <row r="146" ht="15.75" customHeight="1">
      <c r="A146" s="1"/>
      <c r="B146" s="1"/>
      <c r="C146" s="1"/>
      <c r="D146" s="1"/>
      <c r="E146" s="1"/>
      <c r="F146" s="1"/>
      <c r="G146" s="1"/>
      <c r="H146" s="1"/>
      <c r="I146" s="1"/>
      <c r="J146" s="2"/>
      <c r="K146" s="2"/>
      <c r="L146" s="2"/>
      <c r="M146" s="2"/>
      <c r="N146" s="2"/>
      <c r="O146" s="2"/>
      <c r="P146" s="2"/>
      <c r="Q146" s="2"/>
      <c r="R146" s="2"/>
      <c r="S146" s="2"/>
      <c r="T146" s="2"/>
      <c r="U146" s="2"/>
      <c r="V146" s="2"/>
      <c r="W146" s="2"/>
      <c r="X146" s="2"/>
      <c r="Y146" s="2"/>
      <c r="Z146" s="2"/>
    </row>
    <row r="147" ht="15.75" customHeight="1">
      <c r="A147" s="1"/>
      <c r="B147" s="1"/>
      <c r="C147" s="1"/>
      <c r="D147" s="1"/>
      <c r="E147" s="1"/>
      <c r="F147" s="1"/>
      <c r="G147" s="1"/>
      <c r="H147" s="1"/>
      <c r="I147" s="1"/>
      <c r="J147" s="2"/>
      <c r="K147" s="2"/>
      <c r="L147" s="2"/>
      <c r="M147" s="2"/>
      <c r="N147" s="2"/>
      <c r="O147" s="2"/>
      <c r="P147" s="2"/>
      <c r="Q147" s="2"/>
      <c r="R147" s="2"/>
      <c r="S147" s="2"/>
      <c r="T147" s="2"/>
      <c r="U147" s="2"/>
      <c r="V147" s="2"/>
      <c r="W147" s="2"/>
      <c r="X147" s="2"/>
      <c r="Y147" s="2"/>
      <c r="Z147" s="2"/>
    </row>
    <row r="148" ht="15.75" customHeight="1">
      <c r="A148" s="1"/>
      <c r="B148" s="1"/>
      <c r="C148" s="1"/>
      <c r="D148" s="1"/>
      <c r="E148" s="1"/>
      <c r="F148" s="1"/>
      <c r="G148" s="1"/>
      <c r="H148" s="1"/>
      <c r="I148" s="1"/>
      <c r="J148" s="2"/>
      <c r="K148" s="2"/>
      <c r="L148" s="2"/>
      <c r="M148" s="2"/>
      <c r="N148" s="2"/>
      <c r="O148" s="2"/>
      <c r="P148" s="2"/>
      <c r="Q148" s="2"/>
      <c r="R148" s="2"/>
      <c r="S148" s="2"/>
      <c r="T148" s="2"/>
      <c r="U148" s="2"/>
      <c r="V148" s="2"/>
      <c r="W148" s="2"/>
      <c r="X148" s="2"/>
      <c r="Y148" s="2"/>
      <c r="Z148" s="2"/>
    </row>
    <row r="149" ht="15.75" customHeight="1">
      <c r="A149" s="1"/>
      <c r="B149" s="1"/>
      <c r="C149" s="1"/>
      <c r="D149" s="1"/>
      <c r="E149" s="1"/>
      <c r="F149" s="1"/>
      <c r="G149" s="1"/>
      <c r="H149" s="1"/>
      <c r="I149" s="1"/>
      <c r="J149" s="2"/>
      <c r="K149" s="2"/>
      <c r="L149" s="2"/>
      <c r="M149" s="2"/>
      <c r="N149" s="2"/>
      <c r="O149" s="2"/>
      <c r="P149" s="2"/>
      <c r="Q149" s="2"/>
      <c r="R149" s="2"/>
      <c r="S149" s="2"/>
      <c r="T149" s="2"/>
      <c r="U149" s="2"/>
      <c r="V149" s="2"/>
      <c r="W149" s="2"/>
      <c r="X149" s="2"/>
      <c r="Y149" s="2"/>
      <c r="Z149" s="2"/>
    </row>
    <row r="150" ht="15.75" customHeight="1">
      <c r="A150" s="1"/>
      <c r="B150" s="1"/>
      <c r="C150" s="1"/>
      <c r="D150" s="1"/>
      <c r="E150" s="1"/>
      <c r="F150" s="1"/>
      <c r="G150" s="1"/>
      <c r="H150" s="1"/>
      <c r="I150" s="1"/>
      <c r="J150" s="2"/>
      <c r="K150" s="2"/>
      <c r="L150" s="2"/>
      <c r="M150" s="2"/>
      <c r="N150" s="2"/>
      <c r="O150" s="2"/>
      <c r="P150" s="2"/>
      <c r="Q150" s="2"/>
      <c r="R150" s="2"/>
      <c r="S150" s="2"/>
      <c r="T150" s="2"/>
      <c r="U150" s="2"/>
      <c r="V150" s="2"/>
      <c r="W150" s="2"/>
      <c r="X150" s="2"/>
      <c r="Y150" s="2"/>
      <c r="Z150" s="2"/>
    </row>
    <row r="151" ht="15.75" customHeight="1">
      <c r="A151" s="1"/>
      <c r="B151" s="1"/>
      <c r="C151" s="1"/>
      <c r="D151" s="1"/>
      <c r="E151" s="1"/>
      <c r="F151" s="1"/>
      <c r="G151" s="1"/>
      <c r="H151" s="1"/>
      <c r="I151" s="1"/>
      <c r="J151" s="2"/>
      <c r="K151" s="2"/>
      <c r="L151" s="2"/>
      <c r="M151" s="2"/>
      <c r="N151" s="2"/>
      <c r="O151" s="2"/>
      <c r="P151" s="2"/>
      <c r="Q151" s="2"/>
      <c r="R151" s="2"/>
      <c r="S151" s="2"/>
      <c r="T151" s="2"/>
      <c r="U151" s="2"/>
      <c r="V151" s="2"/>
      <c r="W151" s="2"/>
      <c r="X151" s="2"/>
      <c r="Y151" s="2"/>
      <c r="Z151" s="2"/>
    </row>
    <row r="152" ht="15.75" customHeight="1">
      <c r="A152" s="1"/>
      <c r="B152" s="1"/>
      <c r="C152" s="1"/>
      <c r="D152" s="1"/>
      <c r="E152" s="1"/>
      <c r="F152" s="1"/>
      <c r="G152" s="1"/>
      <c r="H152" s="1"/>
      <c r="I152" s="1"/>
      <c r="J152" s="2"/>
      <c r="K152" s="2"/>
      <c r="L152" s="2"/>
      <c r="M152" s="2"/>
      <c r="N152" s="2"/>
      <c r="O152" s="2"/>
      <c r="P152" s="2"/>
      <c r="Q152" s="2"/>
      <c r="R152" s="2"/>
      <c r="S152" s="2"/>
      <c r="T152" s="2"/>
      <c r="U152" s="2"/>
      <c r="V152" s="2"/>
      <c r="W152" s="2"/>
      <c r="X152" s="2"/>
      <c r="Y152" s="2"/>
      <c r="Z152" s="2"/>
    </row>
    <row r="153" ht="15.75" customHeight="1">
      <c r="A153" s="1"/>
      <c r="B153" s="1"/>
      <c r="C153" s="1"/>
      <c r="D153" s="1"/>
      <c r="E153" s="1"/>
      <c r="F153" s="1"/>
      <c r="G153" s="1"/>
      <c r="H153" s="1"/>
      <c r="I153" s="1"/>
      <c r="J153" s="2"/>
      <c r="K153" s="2"/>
      <c r="L153" s="2"/>
      <c r="M153" s="2"/>
      <c r="N153" s="2"/>
      <c r="O153" s="2"/>
      <c r="P153" s="2"/>
      <c r="Q153" s="2"/>
      <c r="R153" s="2"/>
      <c r="S153" s="2"/>
      <c r="T153" s="2"/>
      <c r="U153" s="2"/>
      <c r="V153" s="2"/>
      <c r="W153" s="2"/>
      <c r="X153" s="2"/>
      <c r="Y153" s="2"/>
      <c r="Z153" s="2"/>
    </row>
    <row r="154" ht="15.75" customHeight="1">
      <c r="A154" s="1"/>
      <c r="B154" s="1"/>
      <c r="C154" s="1"/>
      <c r="D154" s="1"/>
      <c r="E154" s="1"/>
      <c r="F154" s="1"/>
      <c r="G154" s="1"/>
      <c r="H154" s="1"/>
      <c r="I154" s="1"/>
      <c r="J154" s="2"/>
      <c r="K154" s="2"/>
      <c r="L154" s="2"/>
      <c r="M154" s="2"/>
      <c r="N154" s="2"/>
      <c r="O154" s="2"/>
      <c r="P154" s="2"/>
      <c r="Q154" s="2"/>
      <c r="R154" s="2"/>
      <c r="S154" s="2"/>
      <c r="T154" s="2"/>
      <c r="U154" s="2"/>
      <c r="V154" s="2"/>
      <c r="W154" s="2"/>
      <c r="X154" s="2"/>
      <c r="Y154" s="2"/>
      <c r="Z154" s="2"/>
    </row>
    <row r="155" ht="15.75" customHeight="1">
      <c r="A155" s="1"/>
      <c r="B155" s="1"/>
      <c r="C155" s="1"/>
      <c r="D155" s="1"/>
      <c r="E155" s="1"/>
      <c r="F155" s="1"/>
      <c r="G155" s="1"/>
      <c r="H155" s="1"/>
      <c r="I155" s="1"/>
      <c r="J155" s="2"/>
      <c r="K155" s="2"/>
      <c r="L155" s="2"/>
      <c r="M155" s="2"/>
      <c r="N155" s="2"/>
      <c r="O155" s="2"/>
      <c r="P155" s="2"/>
      <c r="Q155" s="2"/>
      <c r="R155" s="2"/>
      <c r="S155" s="2"/>
      <c r="T155" s="2"/>
      <c r="U155" s="2"/>
      <c r="V155" s="2"/>
      <c r="W155" s="2"/>
      <c r="X155" s="2"/>
      <c r="Y155" s="2"/>
      <c r="Z155" s="2"/>
    </row>
    <row r="156" ht="15.75" customHeight="1">
      <c r="A156" s="1"/>
      <c r="B156" s="1"/>
      <c r="C156" s="1"/>
      <c r="D156" s="1"/>
      <c r="E156" s="1"/>
      <c r="F156" s="1"/>
      <c r="G156" s="1"/>
      <c r="H156" s="1"/>
      <c r="I156" s="1"/>
      <c r="J156" s="2"/>
      <c r="K156" s="2"/>
      <c r="L156" s="2"/>
      <c r="M156" s="2"/>
      <c r="N156" s="2"/>
      <c r="O156" s="2"/>
      <c r="P156" s="2"/>
      <c r="Q156" s="2"/>
      <c r="R156" s="2"/>
      <c r="S156" s="2"/>
      <c r="T156" s="2"/>
      <c r="U156" s="2"/>
      <c r="V156" s="2"/>
      <c r="W156" s="2"/>
      <c r="X156" s="2"/>
      <c r="Y156" s="2"/>
      <c r="Z156" s="2"/>
    </row>
    <row r="157" ht="15.75" customHeight="1">
      <c r="A157" s="1"/>
      <c r="B157" s="1"/>
      <c r="C157" s="1"/>
      <c r="D157" s="1"/>
      <c r="E157" s="1"/>
      <c r="F157" s="1"/>
      <c r="G157" s="1"/>
      <c r="H157" s="1"/>
      <c r="I157" s="1"/>
      <c r="J157" s="2"/>
      <c r="K157" s="2"/>
      <c r="L157" s="2"/>
      <c r="M157" s="2"/>
      <c r="N157" s="2"/>
      <c r="O157" s="2"/>
      <c r="P157" s="2"/>
      <c r="Q157" s="2"/>
      <c r="R157" s="2"/>
      <c r="S157" s="2"/>
      <c r="T157" s="2"/>
      <c r="U157" s="2"/>
      <c r="V157" s="2"/>
      <c r="W157" s="2"/>
      <c r="X157" s="2"/>
      <c r="Y157" s="2"/>
      <c r="Z157" s="2"/>
    </row>
    <row r="158" ht="15.75" customHeight="1">
      <c r="A158" s="1"/>
      <c r="B158" s="1"/>
      <c r="C158" s="1"/>
      <c r="D158" s="1"/>
      <c r="E158" s="1"/>
      <c r="F158" s="1"/>
      <c r="G158" s="1"/>
      <c r="H158" s="1"/>
      <c r="I158" s="1"/>
      <c r="J158" s="2"/>
      <c r="K158" s="2"/>
      <c r="L158" s="2"/>
      <c r="M158" s="2"/>
      <c r="N158" s="2"/>
      <c r="O158" s="2"/>
      <c r="P158" s="2"/>
      <c r="Q158" s="2"/>
      <c r="R158" s="2"/>
      <c r="S158" s="2"/>
      <c r="T158" s="2"/>
      <c r="U158" s="2"/>
      <c r="V158" s="2"/>
      <c r="W158" s="2"/>
      <c r="X158" s="2"/>
      <c r="Y158" s="2"/>
      <c r="Z158" s="2"/>
    </row>
    <row r="159" ht="15.75" customHeight="1">
      <c r="A159" s="1"/>
      <c r="B159" s="1"/>
      <c r="C159" s="1"/>
      <c r="D159" s="1"/>
      <c r="E159" s="1"/>
      <c r="F159" s="1"/>
      <c r="G159" s="1"/>
      <c r="H159" s="1"/>
      <c r="I159" s="1"/>
      <c r="J159" s="2"/>
      <c r="K159" s="2"/>
      <c r="L159" s="2"/>
      <c r="M159" s="2"/>
      <c r="N159" s="2"/>
      <c r="O159" s="2"/>
      <c r="P159" s="2"/>
      <c r="Q159" s="2"/>
      <c r="R159" s="2"/>
      <c r="S159" s="2"/>
      <c r="T159" s="2"/>
      <c r="U159" s="2"/>
      <c r="V159" s="2"/>
      <c r="W159" s="2"/>
      <c r="X159" s="2"/>
      <c r="Y159" s="2"/>
      <c r="Z159" s="2"/>
    </row>
    <row r="160" ht="15.75" customHeight="1">
      <c r="A160" s="1"/>
      <c r="B160" s="1"/>
      <c r="C160" s="1"/>
      <c r="D160" s="1"/>
      <c r="E160" s="1"/>
      <c r="F160" s="1"/>
      <c r="G160" s="1"/>
      <c r="H160" s="1"/>
      <c r="I160" s="1"/>
      <c r="J160" s="2"/>
      <c r="K160" s="2"/>
      <c r="L160" s="2"/>
      <c r="M160" s="2"/>
      <c r="N160" s="2"/>
      <c r="O160" s="2"/>
      <c r="P160" s="2"/>
      <c r="Q160" s="2"/>
      <c r="R160" s="2"/>
      <c r="S160" s="2"/>
      <c r="T160" s="2"/>
      <c r="U160" s="2"/>
      <c r="V160" s="2"/>
      <c r="W160" s="2"/>
      <c r="X160" s="2"/>
      <c r="Y160" s="2"/>
      <c r="Z160" s="2"/>
    </row>
    <row r="161" ht="15.75" customHeight="1">
      <c r="A161" s="1"/>
      <c r="B161" s="1"/>
      <c r="C161" s="1"/>
      <c r="D161" s="1"/>
      <c r="E161" s="1"/>
      <c r="F161" s="1"/>
      <c r="G161" s="1"/>
      <c r="H161" s="1"/>
      <c r="I161" s="1"/>
      <c r="J161" s="2"/>
      <c r="K161" s="2"/>
      <c r="L161" s="2"/>
      <c r="M161" s="2"/>
      <c r="N161" s="2"/>
      <c r="O161" s="2"/>
      <c r="P161" s="2"/>
      <c r="Q161" s="2"/>
      <c r="R161" s="2"/>
      <c r="S161" s="2"/>
      <c r="T161" s="2"/>
      <c r="U161" s="2"/>
      <c r="V161" s="2"/>
      <c r="W161" s="2"/>
      <c r="X161" s="2"/>
      <c r="Y161" s="2"/>
      <c r="Z161" s="2"/>
    </row>
    <row r="162" ht="15.75" customHeight="1">
      <c r="A162" s="1"/>
      <c r="B162" s="1"/>
      <c r="C162" s="1"/>
      <c r="D162" s="1"/>
      <c r="E162" s="1"/>
      <c r="F162" s="1"/>
      <c r="G162" s="1"/>
      <c r="H162" s="1"/>
      <c r="I162" s="1"/>
      <c r="J162" s="2"/>
      <c r="K162" s="2"/>
      <c r="L162" s="2"/>
      <c r="M162" s="2"/>
      <c r="N162" s="2"/>
      <c r="O162" s="2"/>
      <c r="P162" s="2"/>
      <c r="Q162" s="2"/>
      <c r="R162" s="2"/>
      <c r="S162" s="2"/>
      <c r="T162" s="2"/>
      <c r="U162" s="2"/>
      <c r="V162" s="2"/>
      <c r="W162" s="2"/>
      <c r="X162" s="2"/>
      <c r="Y162" s="2"/>
      <c r="Z162" s="2"/>
    </row>
    <row r="163" ht="15.75" customHeight="1">
      <c r="A163" s="1"/>
      <c r="B163" s="1"/>
      <c r="C163" s="1"/>
      <c r="D163" s="1"/>
      <c r="E163" s="1"/>
      <c r="F163" s="1"/>
      <c r="G163" s="1"/>
      <c r="H163" s="1"/>
      <c r="I163" s="1"/>
      <c r="J163" s="2"/>
      <c r="K163" s="2"/>
      <c r="L163" s="2"/>
      <c r="M163" s="2"/>
      <c r="N163" s="2"/>
      <c r="O163" s="2"/>
      <c r="P163" s="2"/>
      <c r="Q163" s="2"/>
      <c r="R163" s="2"/>
      <c r="S163" s="2"/>
      <c r="T163" s="2"/>
      <c r="U163" s="2"/>
      <c r="V163" s="2"/>
      <c r="W163" s="2"/>
      <c r="X163" s="2"/>
      <c r="Y163" s="2"/>
      <c r="Z163" s="2"/>
    </row>
    <row r="164" ht="15.75" customHeight="1">
      <c r="A164" s="1"/>
      <c r="B164" s="1"/>
      <c r="C164" s="1"/>
      <c r="D164" s="1"/>
      <c r="E164" s="1"/>
      <c r="F164" s="1"/>
      <c r="G164" s="1"/>
      <c r="H164" s="1"/>
      <c r="I164" s="1"/>
      <c r="J164" s="2"/>
      <c r="K164" s="2"/>
      <c r="L164" s="2"/>
      <c r="M164" s="2"/>
      <c r="N164" s="2"/>
      <c r="O164" s="2"/>
      <c r="P164" s="2"/>
      <c r="Q164" s="2"/>
      <c r="R164" s="2"/>
      <c r="S164" s="2"/>
      <c r="T164" s="2"/>
      <c r="U164" s="2"/>
      <c r="V164" s="2"/>
      <c r="W164" s="2"/>
      <c r="X164" s="2"/>
      <c r="Y164" s="2"/>
      <c r="Z164" s="2"/>
    </row>
    <row r="165" ht="15.75" customHeight="1">
      <c r="A165" s="1"/>
      <c r="B165" s="1"/>
      <c r="C165" s="1"/>
      <c r="D165" s="1"/>
      <c r="E165" s="1"/>
      <c r="F165" s="1"/>
      <c r="G165" s="1"/>
      <c r="H165" s="1"/>
      <c r="I165" s="1"/>
      <c r="J165" s="2"/>
      <c r="K165" s="2"/>
      <c r="L165" s="2"/>
      <c r="M165" s="2"/>
      <c r="N165" s="2"/>
      <c r="O165" s="2"/>
      <c r="P165" s="2"/>
      <c r="Q165" s="2"/>
      <c r="R165" s="2"/>
      <c r="S165" s="2"/>
      <c r="T165" s="2"/>
      <c r="U165" s="2"/>
      <c r="V165" s="2"/>
      <c r="W165" s="2"/>
      <c r="X165" s="2"/>
      <c r="Y165" s="2"/>
      <c r="Z165" s="2"/>
    </row>
    <row r="166" ht="15.75" customHeight="1">
      <c r="A166" s="1"/>
      <c r="B166" s="1"/>
      <c r="C166" s="1"/>
      <c r="D166" s="1"/>
      <c r="E166" s="1"/>
      <c r="F166" s="1"/>
      <c r="G166" s="1"/>
      <c r="H166" s="1"/>
      <c r="I166" s="1"/>
      <c r="J166" s="2"/>
      <c r="K166" s="2"/>
      <c r="L166" s="2"/>
      <c r="M166" s="2"/>
      <c r="N166" s="2"/>
      <c r="O166" s="2"/>
      <c r="P166" s="2"/>
      <c r="Q166" s="2"/>
      <c r="R166" s="2"/>
      <c r="S166" s="2"/>
      <c r="T166" s="2"/>
      <c r="U166" s="2"/>
      <c r="V166" s="2"/>
      <c r="W166" s="2"/>
      <c r="X166" s="2"/>
      <c r="Y166" s="2"/>
      <c r="Z166" s="2"/>
    </row>
    <row r="167" ht="15.75" customHeight="1">
      <c r="A167" s="1"/>
      <c r="B167" s="1"/>
      <c r="C167" s="1"/>
      <c r="D167" s="1"/>
      <c r="E167" s="1"/>
      <c r="F167" s="1"/>
      <c r="G167" s="1"/>
      <c r="H167" s="1"/>
      <c r="I167" s="1"/>
      <c r="J167" s="2"/>
      <c r="K167" s="2"/>
      <c r="L167" s="2"/>
      <c r="M167" s="2"/>
      <c r="N167" s="2"/>
      <c r="O167" s="2"/>
      <c r="P167" s="2"/>
      <c r="Q167" s="2"/>
      <c r="R167" s="2"/>
      <c r="S167" s="2"/>
      <c r="T167" s="2"/>
      <c r="U167" s="2"/>
      <c r="V167" s="2"/>
      <c r="W167" s="2"/>
      <c r="X167" s="2"/>
      <c r="Y167" s="2"/>
      <c r="Z167" s="2"/>
    </row>
    <row r="168" ht="15.75" customHeight="1">
      <c r="A168" s="1"/>
      <c r="B168" s="1"/>
      <c r="C168" s="1"/>
      <c r="D168" s="1"/>
      <c r="E168" s="1"/>
      <c r="F168" s="1"/>
      <c r="G168" s="1"/>
      <c r="H168" s="1"/>
      <c r="I168" s="1"/>
      <c r="J168" s="2"/>
      <c r="K168" s="2"/>
      <c r="L168" s="2"/>
      <c r="M168" s="2"/>
      <c r="N168" s="2"/>
      <c r="O168" s="2"/>
      <c r="P168" s="2"/>
      <c r="Q168" s="2"/>
      <c r="R168" s="2"/>
      <c r="S168" s="2"/>
      <c r="T168" s="2"/>
      <c r="U168" s="2"/>
      <c r="V168" s="2"/>
      <c r="W168" s="2"/>
      <c r="X168" s="2"/>
      <c r="Y168" s="2"/>
      <c r="Z168" s="2"/>
    </row>
    <row r="169" ht="15.75" customHeight="1">
      <c r="A169" s="1"/>
      <c r="B169" s="1"/>
      <c r="C169" s="1"/>
      <c r="D169" s="1"/>
      <c r="E169" s="1"/>
      <c r="F169" s="1"/>
      <c r="G169" s="1"/>
      <c r="H169" s="1"/>
      <c r="I169" s="1"/>
      <c r="J169" s="2"/>
      <c r="K169" s="2"/>
      <c r="L169" s="2"/>
      <c r="M169" s="2"/>
      <c r="N169" s="2"/>
      <c r="O169" s="2"/>
      <c r="P169" s="2"/>
      <c r="Q169" s="2"/>
      <c r="R169" s="2"/>
      <c r="S169" s="2"/>
      <c r="T169" s="2"/>
      <c r="U169" s="2"/>
      <c r="V169" s="2"/>
      <c r="W169" s="2"/>
      <c r="X169" s="2"/>
      <c r="Y169" s="2"/>
      <c r="Z169" s="2"/>
    </row>
    <row r="170" ht="15.75" customHeight="1">
      <c r="A170" s="1"/>
      <c r="B170" s="1"/>
      <c r="C170" s="1"/>
      <c r="D170" s="1"/>
      <c r="E170" s="1"/>
      <c r="F170" s="1"/>
      <c r="G170" s="1"/>
      <c r="H170" s="1"/>
      <c r="I170" s="1"/>
      <c r="J170" s="2"/>
      <c r="K170" s="2"/>
      <c r="L170" s="2"/>
      <c r="M170" s="2"/>
      <c r="N170" s="2"/>
      <c r="O170" s="2"/>
      <c r="P170" s="2"/>
      <c r="Q170" s="2"/>
      <c r="R170" s="2"/>
      <c r="S170" s="2"/>
      <c r="T170" s="2"/>
      <c r="U170" s="2"/>
      <c r="V170" s="2"/>
      <c r="W170" s="2"/>
      <c r="X170" s="2"/>
      <c r="Y170" s="2"/>
      <c r="Z170" s="2"/>
    </row>
    <row r="171" ht="15.75" customHeight="1">
      <c r="A171" s="1"/>
      <c r="B171" s="1"/>
      <c r="C171" s="1"/>
      <c r="D171" s="1"/>
      <c r="E171" s="1"/>
      <c r="F171" s="1"/>
      <c r="G171" s="1"/>
      <c r="H171" s="1"/>
      <c r="I171" s="1"/>
      <c r="J171" s="2"/>
      <c r="K171" s="2"/>
      <c r="L171" s="2"/>
      <c r="M171" s="2"/>
      <c r="N171" s="2"/>
      <c r="O171" s="2"/>
      <c r="P171" s="2"/>
      <c r="Q171" s="2"/>
      <c r="R171" s="2"/>
      <c r="S171" s="2"/>
      <c r="T171" s="2"/>
      <c r="U171" s="2"/>
      <c r="V171" s="2"/>
      <c r="W171" s="2"/>
      <c r="X171" s="2"/>
      <c r="Y171" s="2"/>
      <c r="Z171" s="2"/>
    </row>
    <row r="172" ht="15.75" customHeight="1">
      <c r="A172" s="1"/>
      <c r="B172" s="1"/>
      <c r="C172" s="1"/>
      <c r="D172" s="1"/>
      <c r="E172" s="1"/>
      <c r="F172" s="1"/>
      <c r="G172" s="1"/>
      <c r="H172" s="1"/>
      <c r="I172" s="1"/>
      <c r="J172" s="2"/>
      <c r="K172" s="2"/>
      <c r="L172" s="2"/>
      <c r="M172" s="2"/>
      <c r="N172" s="2"/>
      <c r="O172" s="2"/>
      <c r="P172" s="2"/>
      <c r="Q172" s="2"/>
      <c r="R172" s="2"/>
      <c r="S172" s="2"/>
      <c r="T172" s="2"/>
      <c r="U172" s="2"/>
      <c r="V172" s="2"/>
      <c r="W172" s="2"/>
      <c r="X172" s="2"/>
      <c r="Y172" s="2"/>
      <c r="Z172" s="2"/>
    </row>
    <row r="173" ht="15.75" customHeight="1">
      <c r="A173" s="1"/>
      <c r="B173" s="1"/>
      <c r="C173" s="1"/>
      <c r="D173" s="1"/>
      <c r="E173" s="1"/>
      <c r="F173" s="1"/>
      <c r="G173" s="1"/>
      <c r="H173" s="1"/>
      <c r="I173" s="1"/>
      <c r="J173" s="2"/>
      <c r="K173" s="2"/>
      <c r="L173" s="2"/>
      <c r="M173" s="2"/>
      <c r="N173" s="2"/>
      <c r="O173" s="2"/>
      <c r="P173" s="2"/>
      <c r="Q173" s="2"/>
      <c r="R173" s="2"/>
      <c r="S173" s="2"/>
      <c r="T173" s="2"/>
      <c r="U173" s="2"/>
      <c r="V173" s="2"/>
      <c r="W173" s="2"/>
      <c r="X173" s="2"/>
      <c r="Y173" s="2"/>
      <c r="Z173" s="2"/>
    </row>
    <row r="174" ht="15.75" customHeight="1">
      <c r="A174" s="1"/>
      <c r="B174" s="1"/>
      <c r="C174" s="1"/>
      <c r="D174" s="1"/>
      <c r="E174" s="1"/>
      <c r="F174" s="1"/>
      <c r="G174" s="1"/>
      <c r="H174" s="1"/>
      <c r="I174" s="1"/>
      <c r="J174" s="2"/>
      <c r="K174" s="2"/>
      <c r="L174" s="2"/>
      <c r="M174" s="2"/>
      <c r="N174" s="2"/>
      <c r="O174" s="2"/>
      <c r="P174" s="2"/>
      <c r="Q174" s="2"/>
      <c r="R174" s="2"/>
      <c r="S174" s="2"/>
      <c r="T174" s="2"/>
      <c r="U174" s="2"/>
      <c r="V174" s="2"/>
      <c r="W174" s="2"/>
      <c r="X174" s="2"/>
      <c r="Y174" s="2"/>
      <c r="Z174" s="2"/>
    </row>
    <row r="175" ht="15.75" customHeight="1">
      <c r="A175" s="1"/>
      <c r="B175" s="1"/>
      <c r="C175" s="1"/>
      <c r="D175" s="1"/>
      <c r="E175" s="1"/>
      <c r="F175" s="1"/>
      <c r="G175" s="1"/>
      <c r="H175" s="1"/>
      <c r="I175" s="1"/>
      <c r="J175" s="2"/>
      <c r="K175" s="2"/>
      <c r="L175" s="2"/>
      <c r="M175" s="2"/>
      <c r="N175" s="2"/>
      <c r="O175" s="2"/>
      <c r="P175" s="2"/>
      <c r="Q175" s="2"/>
      <c r="R175" s="2"/>
      <c r="S175" s="2"/>
      <c r="T175" s="2"/>
      <c r="U175" s="2"/>
      <c r="V175" s="2"/>
      <c r="W175" s="2"/>
      <c r="X175" s="2"/>
      <c r="Y175" s="2"/>
      <c r="Z175" s="2"/>
    </row>
    <row r="176" ht="15.75" customHeight="1">
      <c r="A176" s="1"/>
      <c r="B176" s="1"/>
      <c r="C176" s="1"/>
      <c r="D176" s="1"/>
      <c r="E176" s="1"/>
      <c r="F176" s="1"/>
      <c r="G176" s="1"/>
      <c r="H176" s="1"/>
      <c r="I176" s="1"/>
      <c r="J176" s="2"/>
      <c r="K176" s="2"/>
      <c r="L176" s="2"/>
      <c r="M176" s="2"/>
      <c r="N176" s="2"/>
      <c r="O176" s="2"/>
      <c r="P176" s="2"/>
      <c r="Q176" s="2"/>
      <c r="R176" s="2"/>
      <c r="S176" s="2"/>
      <c r="T176" s="2"/>
      <c r="U176" s="2"/>
      <c r="V176" s="2"/>
      <c r="W176" s="2"/>
      <c r="X176" s="2"/>
      <c r="Y176" s="2"/>
      <c r="Z176" s="2"/>
    </row>
    <row r="177" ht="15.75" customHeight="1">
      <c r="A177" s="1"/>
      <c r="B177" s="1"/>
      <c r="C177" s="1"/>
      <c r="D177" s="1"/>
      <c r="E177" s="1"/>
      <c r="F177" s="1"/>
      <c r="G177" s="1"/>
      <c r="H177" s="1"/>
      <c r="I177" s="1"/>
      <c r="J177" s="2"/>
      <c r="K177" s="2"/>
      <c r="L177" s="2"/>
      <c r="M177" s="2"/>
      <c r="N177" s="2"/>
      <c r="O177" s="2"/>
      <c r="P177" s="2"/>
      <c r="Q177" s="2"/>
      <c r="R177" s="2"/>
      <c r="S177" s="2"/>
      <c r="T177" s="2"/>
      <c r="U177" s="2"/>
      <c r="V177" s="2"/>
      <c r="W177" s="2"/>
      <c r="X177" s="2"/>
      <c r="Y177" s="2"/>
      <c r="Z177" s="2"/>
    </row>
    <row r="178" ht="15.75" customHeight="1">
      <c r="A178" s="1"/>
      <c r="B178" s="1"/>
      <c r="C178" s="1"/>
      <c r="D178" s="1"/>
      <c r="E178" s="1"/>
      <c r="F178" s="1"/>
      <c r="G178" s="1"/>
      <c r="H178" s="1"/>
      <c r="I178" s="1"/>
      <c r="J178" s="2"/>
      <c r="K178" s="2"/>
      <c r="L178" s="2"/>
      <c r="M178" s="2"/>
      <c r="N178" s="2"/>
      <c r="O178" s="2"/>
      <c r="P178" s="2"/>
      <c r="Q178" s="2"/>
      <c r="R178" s="2"/>
      <c r="S178" s="2"/>
      <c r="T178" s="2"/>
      <c r="U178" s="2"/>
      <c r="V178" s="2"/>
      <c r="W178" s="2"/>
      <c r="X178" s="2"/>
      <c r="Y178" s="2"/>
      <c r="Z178" s="2"/>
    </row>
    <row r="179" ht="15.75" customHeight="1">
      <c r="A179" s="1"/>
      <c r="B179" s="1"/>
      <c r="C179" s="1"/>
      <c r="D179" s="1"/>
      <c r="E179" s="1"/>
      <c r="F179" s="1"/>
      <c r="G179" s="1"/>
      <c r="H179" s="1"/>
      <c r="I179" s="1"/>
      <c r="J179" s="2"/>
      <c r="K179" s="2"/>
      <c r="L179" s="2"/>
      <c r="M179" s="2"/>
      <c r="N179" s="2"/>
      <c r="O179" s="2"/>
      <c r="P179" s="2"/>
      <c r="Q179" s="2"/>
      <c r="R179" s="2"/>
      <c r="S179" s="2"/>
      <c r="T179" s="2"/>
      <c r="U179" s="2"/>
      <c r="V179" s="2"/>
      <c r="W179" s="2"/>
      <c r="X179" s="2"/>
      <c r="Y179" s="2"/>
      <c r="Z179" s="2"/>
    </row>
    <row r="180" ht="15.75" customHeight="1">
      <c r="A180" s="1"/>
      <c r="B180" s="1"/>
      <c r="C180" s="1"/>
      <c r="D180" s="1"/>
      <c r="E180" s="1"/>
      <c r="F180" s="1"/>
      <c r="G180" s="1"/>
      <c r="H180" s="1"/>
      <c r="I180" s="1"/>
      <c r="J180" s="2"/>
      <c r="K180" s="2"/>
      <c r="L180" s="2"/>
      <c r="M180" s="2"/>
      <c r="N180" s="2"/>
      <c r="O180" s="2"/>
      <c r="P180" s="2"/>
      <c r="Q180" s="2"/>
      <c r="R180" s="2"/>
      <c r="S180" s="2"/>
      <c r="T180" s="2"/>
      <c r="U180" s="2"/>
      <c r="V180" s="2"/>
      <c r="W180" s="2"/>
      <c r="X180" s="2"/>
      <c r="Y180" s="2"/>
      <c r="Z180" s="2"/>
    </row>
    <row r="181" ht="15.75" customHeight="1">
      <c r="A181" s="1"/>
      <c r="B181" s="1"/>
      <c r="C181" s="1"/>
      <c r="D181" s="1"/>
      <c r="E181" s="1"/>
      <c r="F181" s="1"/>
      <c r="G181" s="1"/>
      <c r="H181" s="1"/>
      <c r="I181" s="1"/>
      <c r="J181" s="2"/>
      <c r="K181" s="2"/>
      <c r="L181" s="2"/>
      <c r="M181" s="2"/>
      <c r="N181" s="2"/>
      <c r="O181" s="2"/>
      <c r="P181" s="2"/>
      <c r="Q181" s="2"/>
      <c r="R181" s="2"/>
      <c r="S181" s="2"/>
      <c r="T181" s="2"/>
      <c r="U181" s="2"/>
      <c r="V181" s="2"/>
      <c r="W181" s="2"/>
      <c r="X181" s="2"/>
      <c r="Y181" s="2"/>
      <c r="Z181" s="2"/>
    </row>
    <row r="182" ht="15.75" customHeight="1">
      <c r="A182" s="1"/>
      <c r="B182" s="1"/>
      <c r="C182" s="1"/>
      <c r="D182" s="1"/>
      <c r="E182" s="1"/>
      <c r="F182" s="1"/>
      <c r="G182" s="1"/>
      <c r="H182" s="1"/>
      <c r="I182" s="1"/>
      <c r="J182" s="2"/>
      <c r="K182" s="2"/>
      <c r="L182" s="2"/>
      <c r="M182" s="2"/>
      <c r="N182" s="2"/>
      <c r="O182" s="2"/>
      <c r="P182" s="2"/>
      <c r="Q182" s="2"/>
      <c r="R182" s="2"/>
      <c r="S182" s="2"/>
      <c r="T182" s="2"/>
      <c r="U182" s="2"/>
      <c r="V182" s="2"/>
      <c r="W182" s="2"/>
      <c r="X182" s="2"/>
      <c r="Y182" s="2"/>
      <c r="Z182" s="2"/>
    </row>
    <row r="183" ht="15.75" customHeight="1">
      <c r="A183" s="1"/>
      <c r="B183" s="1"/>
      <c r="C183" s="1"/>
      <c r="D183" s="1"/>
      <c r="E183" s="1"/>
      <c r="F183" s="1"/>
      <c r="G183" s="1"/>
      <c r="H183" s="1"/>
      <c r="I183" s="1"/>
      <c r="J183" s="2"/>
      <c r="K183" s="2"/>
      <c r="L183" s="2"/>
      <c r="M183" s="2"/>
      <c r="N183" s="2"/>
      <c r="O183" s="2"/>
      <c r="P183" s="2"/>
      <c r="Q183" s="2"/>
      <c r="R183" s="2"/>
      <c r="S183" s="2"/>
      <c r="T183" s="2"/>
      <c r="U183" s="2"/>
      <c r="V183" s="2"/>
      <c r="W183" s="2"/>
      <c r="X183" s="2"/>
      <c r="Y183" s="2"/>
      <c r="Z183" s="2"/>
    </row>
    <row r="184" ht="15.75" customHeight="1">
      <c r="A184" s="1"/>
      <c r="B184" s="1"/>
      <c r="C184" s="1"/>
      <c r="D184" s="1"/>
      <c r="E184" s="1"/>
      <c r="F184" s="1"/>
      <c r="G184" s="1"/>
      <c r="H184" s="1"/>
      <c r="I184" s="1"/>
      <c r="J184" s="2"/>
      <c r="K184" s="2"/>
      <c r="L184" s="2"/>
      <c r="M184" s="2"/>
      <c r="N184" s="2"/>
      <c r="O184" s="2"/>
      <c r="P184" s="2"/>
      <c r="Q184" s="2"/>
      <c r="R184" s="2"/>
      <c r="S184" s="2"/>
      <c r="T184" s="2"/>
      <c r="U184" s="2"/>
      <c r="V184" s="2"/>
      <c r="W184" s="2"/>
      <c r="X184" s="2"/>
      <c r="Y184" s="2"/>
      <c r="Z184" s="2"/>
    </row>
    <row r="185" ht="15.75" customHeight="1">
      <c r="A185" s="1"/>
      <c r="B185" s="1"/>
      <c r="C185" s="1"/>
      <c r="D185" s="1"/>
      <c r="E185" s="1"/>
      <c r="F185" s="1"/>
      <c r="G185" s="1"/>
      <c r="H185" s="1"/>
      <c r="I185" s="1"/>
      <c r="J185" s="2"/>
      <c r="K185" s="2"/>
      <c r="L185" s="2"/>
      <c r="M185" s="2"/>
      <c r="N185" s="2"/>
      <c r="O185" s="2"/>
      <c r="P185" s="2"/>
      <c r="Q185" s="2"/>
      <c r="R185" s="2"/>
      <c r="S185" s="2"/>
      <c r="T185" s="2"/>
      <c r="U185" s="2"/>
      <c r="V185" s="2"/>
      <c r="W185" s="2"/>
      <c r="X185" s="2"/>
      <c r="Y185" s="2"/>
      <c r="Z185" s="2"/>
    </row>
    <row r="186" ht="15.75" customHeight="1">
      <c r="A186" s="1"/>
      <c r="B186" s="1"/>
      <c r="C186" s="1"/>
      <c r="D186" s="1"/>
      <c r="E186" s="1"/>
      <c r="F186" s="1"/>
      <c r="G186" s="1"/>
      <c r="H186" s="1"/>
      <c r="I186" s="1"/>
      <c r="J186" s="2"/>
      <c r="K186" s="2"/>
      <c r="L186" s="2"/>
      <c r="M186" s="2"/>
      <c r="N186" s="2"/>
      <c r="O186" s="2"/>
      <c r="P186" s="2"/>
      <c r="Q186" s="2"/>
      <c r="R186" s="2"/>
      <c r="S186" s="2"/>
      <c r="T186" s="2"/>
      <c r="U186" s="2"/>
      <c r="V186" s="2"/>
      <c r="W186" s="2"/>
      <c r="X186" s="2"/>
      <c r="Y186" s="2"/>
      <c r="Z186" s="2"/>
    </row>
    <row r="187" ht="15.75" customHeight="1">
      <c r="A187" s="1"/>
      <c r="B187" s="1"/>
      <c r="C187" s="1"/>
      <c r="D187" s="1"/>
      <c r="E187" s="1"/>
      <c r="F187" s="1"/>
      <c r="G187" s="1"/>
      <c r="H187" s="1"/>
      <c r="I187" s="1"/>
      <c r="J187" s="2"/>
      <c r="K187" s="2"/>
      <c r="L187" s="2"/>
      <c r="M187" s="2"/>
      <c r="N187" s="2"/>
      <c r="O187" s="2"/>
      <c r="P187" s="2"/>
      <c r="Q187" s="2"/>
      <c r="R187" s="2"/>
      <c r="S187" s="2"/>
      <c r="T187" s="2"/>
      <c r="U187" s="2"/>
      <c r="V187" s="2"/>
      <c r="W187" s="2"/>
      <c r="X187" s="2"/>
      <c r="Y187" s="2"/>
      <c r="Z187" s="2"/>
    </row>
    <row r="188" ht="15.75" customHeight="1">
      <c r="A188" s="1"/>
      <c r="B188" s="1"/>
      <c r="C188" s="1"/>
      <c r="D188" s="1"/>
      <c r="E188" s="1"/>
      <c r="F188" s="1"/>
      <c r="G188" s="1"/>
      <c r="H188" s="1"/>
      <c r="I188" s="1"/>
      <c r="J188" s="2"/>
      <c r="K188" s="2"/>
      <c r="L188" s="2"/>
      <c r="M188" s="2"/>
      <c r="N188" s="2"/>
      <c r="O188" s="2"/>
      <c r="P188" s="2"/>
      <c r="Q188" s="2"/>
      <c r="R188" s="2"/>
      <c r="S188" s="2"/>
      <c r="T188" s="2"/>
      <c r="U188" s="2"/>
      <c r="V188" s="2"/>
      <c r="W188" s="2"/>
      <c r="X188" s="2"/>
      <c r="Y188" s="2"/>
      <c r="Z188" s="2"/>
    </row>
    <row r="189" ht="15.75" customHeight="1">
      <c r="A189" s="1"/>
      <c r="B189" s="1"/>
      <c r="C189" s="1"/>
      <c r="D189" s="1"/>
      <c r="E189" s="1"/>
      <c r="F189" s="1"/>
      <c r="G189" s="1"/>
      <c r="H189" s="1"/>
      <c r="I189" s="1"/>
      <c r="J189" s="2"/>
      <c r="K189" s="2"/>
      <c r="L189" s="2"/>
      <c r="M189" s="2"/>
      <c r="N189" s="2"/>
      <c r="O189" s="2"/>
      <c r="P189" s="2"/>
      <c r="Q189" s="2"/>
      <c r="R189" s="2"/>
      <c r="S189" s="2"/>
      <c r="T189" s="2"/>
      <c r="U189" s="2"/>
      <c r="V189" s="2"/>
      <c r="W189" s="2"/>
      <c r="X189" s="2"/>
      <c r="Y189" s="2"/>
      <c r="Z189" s="2"/>
    </row>
    <row r="190" ht="15.75" customHeight="1">
      <c r="A190" s="1"/>
      <c r="B190" s="1"/>
      <c r="C190" s="1"/>
      <c r="D190" s="1"/>
      <c r="E190" s="1"/>
      <c r="F190" s="1"/>
      <c r="G190" s="1"/>
      <c r="H190" s="1"/>
      <c r="I190" s="1"/>
      <c r="J190" s="2"/>
      <c r="K190" s="2"/>
      <c r="L190" s="2"/>
      <c r="M190" s="2"/>
      <c r="N190" s="2"/>
      <c r="O190" s="2"/>
      <c r="P190" s="2"/>
      <c r="Q190" s="2"/>
      <c r="R190" s="2"/>
      <c r="S190" s="2"/>
      <c r="T190" s="2"/>
      <c r="U190" s="2"/>
      <c r="V190" s="2"/>
      <c r="W190" s="2"/>
      <c r="X190" s="2"/>
      <c r="Y190" s="2"/>
      <c r="Z190" s="2"/>
    </row>
    <row r="191" ht="15.75" customHeight="1">
      <c r="A191" s="1"/>
      <c r="B191" s="1"/>
      <c r="C191" s="1"/>
      <c r="D191" s="1"/>
      <c r="E191" s="1"/>
      <c r="F191" s="1"/>
      <c r="G191" s="1"/>
      <c r="H191" s="1"/>
      <c r="I191" s="1"/>
      <c r="J191" s="2"/>
      <c r="K191" s="2"/>
      <c r="L191" s="2"/>
      <c r="M191" s="2"/>
      <c r="N191" s="2"/>
      <c r="O191" s="2"/>
      <c r="P191" s="2"/>
      <c r="Q191" s="2"/>
      <c r="R191" s="2"/>
      <c r="S191" s="2"/>
      <c r="T191" s="2"/>
      <c r="U191" s="2"/>
      <c r="V191" s="2"/>
      <c r="W191" s="2"/>
      <c r="X191" s="2"/>
      <c r="Y191" s="2"/>
      <c r="Z191" s="2"/>
    </row>
    <row r="192" ht="15.75" customHeight="1">
      <c r="A192" s="1"/>
      <c r="B192" s="1"/>
      <c r="C192" s="1"/>
      <c r="D192" s="1"/>
      <c r="E192" s="1"/>
      <c r="F192" s="1"/>
      <c r="G192" s="1"/>
      <c r="H192" s="1"/>
      <c r="I192" s="1"/>
      <c r="J192" s="2"/>
      <c r="K192" s="2"/>
      <c r="L192" s="2"/>
      <c r="M192" s="2"/>
      <c r="N192" s="2"/>
      <c r="O192" s="2"/>
      <c r="P192" s="2"/>
      <c r="Q192" s="2"/>
      <c r="R192" s="2"/>
      <c r="S192" s="2"/>
      <c r="T192" s="2"/>
      <c r="U192" s="2"/>
      <c r="V192" s="2"/>
      <c r="W192" s="2"/>
      <c r="X192" s="2"/>
      <c r="Y192" s="2"/>
      <c r="Z192" s="2"/>
    </row>
    <row r="193" ht="15.75" customHeight="1">
      <c r="A193" s="1"/>
      <c r="B193" s="1"/>
      <c r="C193" s="1"/>
      <c r="D193" s="1"/>
      <c r="E193" s="1"/>
      <c r="F193" s="1"/>
      <c r="G193" s="1"/>
      <c r="H193" s="1"/>
      <c r="I193" s="1"/>
      <c r="J193" s="2"/>
      <c r="K193" s="2"/>
      <c r="L193" s="2"/>
      <c r="M193" s="2"/>
      <c r="N193" s="2"/>
      <c r="O193" s="2"/>
      <c r="P193" s="2"/>
      <c r="Q193" s="2"/>
      <c r="R193" s="2"/>
      <c r="S193" s="2"/>
      <c r="T193" s="2"/>
      <c r="U193" s="2"/>
      <c r="V193" s="2"/>
      <c r="W193" s="2"/>
      <c r="X193" s="2"/>
      <c r="Y193" s="2"/>
      <c r="Z193" s="2"/>
    </row>
    <row r="194" ht="15.75" customHeight="1">
      <c r="A194" s="1"/>
      <c r="B194" s="1"/>
      <c r="C194" s="1"/>
      <c r="D194" s="1"/>
      <c r="E194" s="1"/>
      <c r="F194" s="1"/>
      <c r="G194" s="1"/>
      <c r="H194" s="1"/>
      <c r="I194" s="1"/>
      <c r="J194" s="2"/>
      <c r="K194" s="2"/>
      <c r="L194" s="2"/>
      <c r="M194" s="2"/>
      <c r="N194" s="2"/>
      <c r="O194" s="2"/>
      <c r="P194" s="2"/>
      <c r="Q194" s="2"/>
      <c r="R194" s="2"/>
      <c r="S194" s="2"/>
      <c r="T194" s="2"/>
      <c r="U194" s="2"/>
      <c r="V194" s="2"/>
      <c r="W194" s="2"/>
      <c r="X194" s="2"/>
      <c r="Y194" s="2"/>
      <c r="Z194" s="2"/>
    </row>
    <row r="195" ht="15.75" customHeight="1">
      <c r="A195" s="1"/>
      <c r="B195" s="1"/>
      <c r="C195" s="1"/>
      <c r="D195" s="1"/>
      <c r="E195" s="1"/>
      <c r="F195" s="1"/>
      <c r="G195" s="1"/>
      <c r="H195" s="1"/>
      <c r="I195" s="1"/>
      <c r="J195" s="2"/>
      <c r="K195" s="2"/>
      <c r="L195" s="2"/>
      <c r="M195" s="2"/>
      <c r="N195" s="2"/>
      <c r="O195" s="2"/>
      <c r="P195" s="2"/>
      <c r="Q195" s="2"/>
      <c r="R195" s="2"/>
      <c r="S195" s="2"/>
      <c r="T195" s="2"/>
      <c r="U195" s="2"/>
      <c r="V195" s="2"/>
      <c r="W195" s="2"/>
      <c r="X195" s="2"/>
      <c r="Y195" s="2"/>
      <c r="Z195" s="2"/>
    </row>
    <row r="196" ht="15.75" customHeight="1">
      <c r="A196" s="1"/>
      <c r="B196" s="1"/>
      <c r="C196" s="1"/>
      <c r="D196" s="1"/>
      <c r="E196" s="1"/>
      <c r="F196" s="1"/>
      <c r="G196" s="1"/>
      <c r="H196" s="1"/>
      <c r="I196" s="1"/>
      <c r="J196" s="2"/>
      <c r="K196" s="2"/>
      <c r="L196" s="2"/>
      <c r="M196" s="2"/>
      <c r="N196" s="2"/>
      <c r="O196" s="2"/>
      <c r="P196" s="2"/>
      <c r="Q196" s="2"/>
      <c r="R196" s="2"/>
      <c r="S196" s="2"/>
      <c r="T196" s="2"/>
      <c r="U196" s="2"/>
      <c r="V196" s="2"/>
      <c r="W196" s="2"/>
      <c r="X196" s="2"/>
      <c r="Y196" s="2"/>
      <c r="Z196" s="2"/>
    </row>
    <row r="197" ht="15.75" customHeight="1">
      <c r="A197" s="1"/>
      <c r="B197" s="1"/>
      <c r="C197" s="1"/>
      <c r="D197" s="1"/>
      <c r="E197" s="1"/>
      <c r="F197" s="1"/>
      <c r="G197" s="1"/>
      <c r="H197" s="1"/>
      <c r="I197" s="1"/>
      <c r="J197" s="2"/>
      <c r="K197" s="2"/>
      <c r="L197" s="2"/>
      <c r="M197" s="2"/>
      <c r="N197" s="2"/>
      <c r="O197" s="2"/>
      <c r="P197" s="2"/>
      <c r="Q197" s="2"/>
      <c r="R197" s="2"/>
      <c r="S197" s="2"/>
      <c r="T197" s="2"/>
      <c r="U197" s="2"/>
      <c r="V197" s="2"/>
      <c r="W197" s="2"/>
      <c r="X197" s="2"/>
      <c r="Y197" s="2"/>
      <c r="Z197" s="2"/>
    </row>
    <row r="198" ht="15.75" customHeight="1">
      <c r="A198" s="1"/>
      <c r="B198" s="1"/>
      <c r="C198" s="1"/>
      <c r="D198" s="1"/>
      <c r="E198" s="1"/>
      <c r="F198" s="1"/>
      <c r="G198" s="1"/>
      <c r="H198" s="1"/>
      <c r="I198" s="1"/>
      <c r="J198" s="2"/>
      <c r="K198" s="2"/>
      <c r="L198" s="2"/>
      <c r="M198" s="2"/>
      <c r="N198" s="2"/>
      <c r="O198" s="2"/>
      <c r="P198" s="2"/>
      <c r="Q198" s="2"/>
      <c r="R198" s="2"/>
      <c r="S198" s="2"/>
      <c r="T198" s="2"/>
      <c r="U198" s="2"/>
      <c r="V198" s="2"/>
      <c r="W198" s="2"/>
      <c r="X198" s="2"/>
      <c r="Y198" s="2"/>
      <c r="Z198" s="2"/>
    </row>
    <row r="199" ht="15.75" customHeight="1">
      <c r="A199" s="1"/>
      <c r="B199" s="1"/>
      <c r="C199" s="1"/>
      <c r="D199" s="1"/>
      <c r="E199" s="1"/>
      <c r="F199" s="1"/>
      <c r="G199" s="1"/>
      <c r="H199" s="1"/>
      <c r="I199" s="1"/>
      <c r="J199" s="2"/>
      <c r="K199" s="2"/>
      <c r="L199" s="2"/>
      <c r="M199" s="2"/>
      <c r="N199" s="2"/>
      <c r="O199" s="2"/>
      <c r="P199" s="2"/>
      <c r="Q199" s="2"/>
      <c r="R199" s="2"/>
      <c r="S199" s="2"/>
      <c r="T199" s="2"/>
      <c r="U199" s="2"/>
      <c r="V199" s="2"/>
      <c r="W199" s="2"/>
      <c r="X199" s="2"/>
      <c r="Y199" s="2"/>
      <c r="Z199" s="2"/>
    </row>
    <row r="200" ht="15.75" customHeight="1">
      <c r="A200" s="1"/>
      <c r="B200" s="1"/>
      <c r="C200" s="1"/>
      <c r="D200" s="1"/>
      <c r="E200" s="1"/>
      <c r="F200" s="1"/>
      <c r="G200" s="1"/>
      <c r="H200" s="1"/>
      <c r="I200" s="1"/>
      <c r="J200" s="2"/>
      <c r="K200" s="2"/>
      <c r="L200" s="2"/>
      <c r="M200" s="2"/>
      <c r="N200" s="2"/>
      <c r="O200" s="2"/>
      <c r="P200" s="2"/>
      <c r="Q200" s="2"/>
      <c r="R200" s="2"/>
      <c r="S200" s="2"/>
      <c r="T200" s="2"/>
      <c r="U200" s="2"/>
      <c r="V200" s="2"/>
      <c r="W200" s="2"/>
      <c r="X200" s="2"/>
      <c r="Y200" s="2"/>
      <c r="Z200" s="2"/>
    </row>
    <row r="201" ht="15.75" customHeight="1">
      <c r="A201" s="1"/>
      <c r="B201" s="1"/>
      <c r="C201" s="1"/>
      <c r="D201" s="1"/>
      <c r="E201" s="1"/>
      <c r="F201" s="1"/>
      <c r="G201" s="1"/>
      <c r="H201" s="1"/>
      <c r="I201" s="1"/>
      <c r="J201" s="2"/>
      <c r="K201" s="2"/>
      <c r="L201" s="2"/>
      <c r="M201" s="2"/>
      <c r="N201" s="2"/>
      <c r="O201" s="2"/>
      <c r="P201" s="2"/>
      <c r="Q201" s="2"/>
      <c r="R201" s="2"/>
      <c r="S201" s="2"/>
      <c r="T201" s="2"/>
      <c r="U201" s="2"/>
      <c r="V201" s="2"/>
      <c r="W201" s="2"/>
      <c r="X201" s="2"/>
      <c r="Y201" s="2"/>
      <c r="Z201" s="2"/>
    </row>
    <row r="202" ht="15.75" customHeight="1">
      <c r="A202" s="1"/>
      <c r="B202" s="1"/>
      <c r="C202" s="1"/>
      <c r="D202" s="1"/>
      <c r="E202" s="1"/>
      <c r="F202" s="1"/>
      <c r="G202" s="1"/>
      <c r="H202" s="1"/>
      <c r="I202" s="1"/>
      <c r="J202" s="2"/>
      <c r="K202" s="2"/>
      <c r="L202" s="2"/>
      <c r="M202" s="2"/>
      <c r="N202" s="2"/>
      <c r="O202" s="2"/>
      <c r="P202" s="2"/>
      <c r="Q202" s="2"/>
      <c r="R202" s="2"/>
      <c r="S202" s="2"/>
      <c r="T202" s="2"/>
      <c r="U202" s="2"/>
      <c r="V202" s="2"/>
      <c r="W202" s="2"/>
      <c r="X202" s="2"/>
      <c r="Y202" s="2"/>
      <c r="Z202" s="2"/>
    </row>
    <row r="203" ht="15.75" customHeight="1">
      <c r="A203" s="1"/>
      <c r="B203" s="1"/>
      <c r="C203" s="1"/>
      <c r="D203" s="1"/>
      <c r="E203" s="1"/>
      <c r="F203" s="1"/>
      <c r="G203" s="1"/>
      <c r="H203" s="1"/>
      <c r="I203" s="1"/>
      <c r="J203" s="2"/>
      <c r="K203" s="2"/>
      <c r="L203" s="2"/>
      <c r="M203" s="2"/>
      <c r="N203" s="2"/>
      <c r="O203" s="2"/>
      <c r="P203" s="2"/>
      <c r="Q203" s="2"/>
      <c r="R203" s="2"/>
      <c r="S203" s="2"/>
      <c r="T203" s="2"/>
      <c r="U203" s="2"/>
      <c r="V203" s="2"/>
      <c r="W203" s="2"/>
      <c r="X203" s="2"/>
      <c r="Y203" s="2"/>
      <c r="Z203" s="2"/>
    </row>
    <row r="204" ht="15.75" customHeight="1">
      <c r="A204" s="1"/>
      <c r="B204" s="1"/>
      <c r="C204" s="1"/>
      <c r="D204" s="1"/>
      <c r="E204" s="1"/>
      <c r="F204" s="1"/>
      <c r="G204" s="1"/>
      <c r="H204" s="1"/>
      <c r="I204" s="1"/>
      <c r="J204" s="2"/>
      <c r="K204" s="2"/>
      <c r="L204" s="2"/>
      <c r="M204" s="2"/>
      <c r="N204" s="2"/>
      <c r="O204" s="2"/>
      <c r="P204" s="2"/>
      <c r="Q204" s="2"/>
      <c r="R204" s="2"/>
      <c r="S204" s="2"/>
      <c r="T204" s="2"/>
      <c r="U204" s="2"/>
      <c r="V204" s="2"/>
      <c r="W204" s="2"/>
      <c r="X204" s="2"/>
      <c r="Y204" s="2"/>
      <c r="Z204" s="2"/>
    </row>
    <row r="205" ht="15.75" customHeight="1">
      <c r="A205" s="1"/>
      <c r="B205" s="1"/>
      <c r="C205" s="1"/>
      <c r="D205" s="1"/>
      <c r="E205" s="1"/>
      <c r="F205" s="1"/>
      <c r="G205" s="1"/>
      <c r="H205" s="1"/>
      <c r="I205" s="1"/>
      <c r="J205" s="2"/>
      <c r="K205" s="2"/>
      <c r="L205" s="2"/>
      <c r="M205" s="2"/>
      <c r="N205" s="2"/>
      <c r="O205" s="2"/>
      <c r="P205" s="2"/>
      <c r="Q205" s="2"/>
      <c r="R205" s="2"/>
      <c r="S205" s="2"/>
      <c r="T205" s="2"/>
      <c r="U205" s="2"/>
      <c r="V205" s="2"/>
      <c r="W205" s="2"/>
      <c r="X205" s="2"/>
      <c r="Y205" s="2"/>
      <c r="Z205" s="2"/>
    </row>
    <row r="206" ht="15.75" customHeight="1">
      <c r="A206" s="1"/>
      <c r="B206" s="1"/>
      <c r="C206" s="1"/>
      <c r="D206" s="1"/>
      <c r="E206" s="1"/>
      <c r="F206" s="1"/>
      <c r="G206" s="1"/>
      <c r="H206" s="1"/>
      <c r="I206" s="1"/>
      <c r="J206" s="2"/>
      <c r="K206" s="2"/>
      <c r="L206" s="2"/>
      <c r="M206" s="2"/>
      <c r="N206" s="2"/>
      <c r="O206" s="2"/>
      <c r="P206" s="2"/>
      <c r="Q206" s="2"/>
      <c r="R206" s="2"/>
      <c r="S206" s="2"/>
      <c r="T206" s="2"/>
      <c r="U206" s="2"/>
      <c r="V206" s="2"/>
      <c r="W206" s="2"/>
      <c r="X206" s="2"/>
      <c r="Y206" s="2"/>
      <c r="Z206" s="2"/>
    </row>
    <row r="207" ht="15.75" customHeight="1">
      <c r="A207" s="1"/>
      <c r="B207" s="1"/>
      <c r="C207" s="1"/>
      <c r="D207" s="1"/>
      <c r="E207" s="1"/>
      <c r="F207" s="1"/>
      <c r="G207" s="1"/>
      <c r="H207" s="1"/>
      <c r="I207" s="1"/>
      <c r="J207" s="2"/>
      <c r="K207" s="2"/>
      <c r="L207" s="2"/>
      <c r="M207" s="2"/>
      <c r="N207" s="2"/>
      <c r="O207" s="2"/>
      <c r="P207" s="2"/>
      <c r="Q207" s="2"/>
      <c r="R207" s="2"/>
      <c r="S207" s="2"/>
      <c r="T207" s="2"/>
      <c r="U207" s="2"/>
      <c r="V207" s="2"/>
      <c r="W207" s="2"/>
      <c r="X207" s="2"/>
      <c r="Y207" s="2"/>
      <c r="Z207" s="2"/>
    </row>
    <row r="208" ht="15.75" customHeight="1">
      <c r="A208" s="1"/>
      <c r="B208" s="1"/>
      <c r="C208" s="1"/>
      <c r="D208" s="1"/>
      <c r="E208" s="1"/>
      <c r="F208" s="1"/>
      <c r="G208" s="1"/>
      <c r="H208" s="1"/>
      <c r="I208" s="1"/>
      <c r="J208" s="2"/>
      <c r="K208" s="2"/>
      <c r="L208" s="2"/>
      <c r="M208" s="2"/>
      <c r="N208" s="2"/>
      <c r="O208" s="2"/>
      <c r="P208" s="2"/>
      <c r="Q208" s="2"/>
      <c r="R208" s="2"/>
      <c r="S208" s="2"/>
      <c r="T208" s="2"/>
      <c r="U208" s="2"/>
      <c r="V208" s="2"/>
      <c r="W208" s="2"/>
      <c r="X208" s="2"/>
      <c r="Y208" s="2"/>
      <c r="Z208" s="2"/>
    </row>
    <row r="209" ht="15.75" customHeight="1">
      <c r="A209" s="1"/>
      <c r="B209" s="1"/>
      <c r="C209" s="1"/>
      <c r="D209" s="1"/>
      <c r="E209" s="1"/>
      <c r="F209" s="1"/>
      <c r="G209" s="1"/>
      <c r="H209" s="1"/>
      <c r="I209" s="1"/>
      <c r="J209" s="2"/>
      <c r="K209" s="2"/>
      <c r="L209" s="2"/>
      <c r="M209" s="2"/>
      <c r="N209" s="2"/>
      <c r="O209" s="2"/>
      <c r="P209" s="2"/>
      <c r="Q209" s="2"/>
      <c r="R209" s="2"/>
      <c r="S209" s="2"/>
      <c r="T209" s="2"/>
      <c r="U209" s="2"/>
      <c r="V209" s="2"/>
      <c r="W209" s="2"/>
      <c r="X209" s="2"/>
      <c r="Y209" s="2"/>
      <c r="Z209" s="2"/>
    </row>
    <row r="210" ht="15.75" customHeight="1">
      <c r="A210" s="1"/>
      <c r="B210" s="1"/>
      <c r="C210" s="1"/>
      <c r="D210" s="1"/>
      <c r="E210" s="1"/>
      <c r="F210" s="1"/>
      <c r="G210" s="1"/>
      <c r="H210" s="1"/>
      <c r="I210" s="1"/>
      <c r="J210" s="2"/>
      <c r="K210" s="2"/>
      <c r="L210" s="2"/>
      <c r="M210" s="2"/>
      <c r="N210" s="2"/>
      <c r="O210" s="2"/>
      <c r="P210" s="2"/>
      <c r="Q210" s="2"/>
      <c r="R210" s="2"/>
      <c r="S210" s="2"/>
      <c r="T210" s="2"/>
      <c r="U210" s="2"/>
      <c r="V210" s="2"/>
      <c r="W210" s="2"/>
      <c r="X210" s="2"/>
      <c r="Y210" s="2"/>
      <c r="Z210" s="2"/>
    </row>
    <row r="211" ht="15.75" customHeight="1">
      <c r="A211" s="1"/>
      <c r="B211" s="1"/>
      <c r="C211" s="1"/>
      <c r="D211" s="1"/>
      <c r="E211" s="1"/>
      <c r="F211" s="1"/>
      <c r="G211" s="1"/>
      <c r="H211" s="1"/>
      <c r="I211" s="1"/>
      <c r="J211" s="2"/>
      <c r="K211" s="2"/>
      <c r="L211" s="2"/>
      <c r="M211" s="2"/>
      <c r="N211" s="2"/>
      <c r="O211" s="2"/>
      <c r="P211" s="2"/>
      <c r="Q211" s="2"/>
      <c r="R211" s="2"/>
      <c r="S211" s="2"/>
      <c r="T211" s="2"/>
      <c r="U211" s="2"/>
      <c r="V211" s="2"/>
      <c r="W211" s="2"/>
      <c r="X211" s="2"/>
      <c r="Y211" s="2"/>
      <c r="Z211" s="2"/>
    </row>
    <row r="212" ht="15.75" customHeight="1">
      <c r="A212" s="1"/>
      <c r="B212" s="1"/>
      <c r="C212" s="1"/>
      <c r="D212" s="1"/>
      <c r="E212" s="1"/>
      <c r="F212" s="1"/>
      <c r="G212" s="1"/>
      <c r="H212" s="1"/>
      <c r="I212" s="1"/>
      <c r="J212" s="2"/>
      <c r="K212" s="2"/>
      <c r="L212" s="2"/>
      <c r="M212" s="2"/>
      <c r="N212" s="2"/>
      <c r="O212" s="2"/>
      <c r="P212" s="2"/>
      <c r="Q212" s="2"/>
      <c r="R212" s="2"/>
      <c r="S212" s="2"/>
      <c r="T212" s="2"/>
      <c r="U212" s="2"/>
      <c r="V212" s="2"/>
      <c r="W212" s="2"/>
      <c r="X212" s="2"/>
      <c r="Y212" s="2"/>
      <c r="Z212" s="2"/>
    </row>
    <row r="213" ht="15.75" customHeight="1">
      <c r="A213" s="1"/>
      <c r="B213" s="1"/>
      <c r="C213" s="1"/>
      <c r="D213" s="1"/>
      <c r="E213" s="1"/>
      <c r="F213" s="1"/>
      <c r="G213" s="1"/>
      <c r="H213" s="1"/>
      <c r="I213" s="1"/>
      <c r="J213" s="2"/>
      <c r="K213" s="2"/>
      <c r="L213" s="2"/>
      <c r="M213" s="2"/>
      <c r="N213" s="2"/>
      <c r="O213" s="2"/>
      <c r="P213" s="2"/>
      <c r="Q213" s="2"/>
      <c r="R213" s="2"/>
      <c r="S213" s="2"/>
      <c r="T213" s="2"/>
      <c r="U213" s="2"/>
      <c r="V213" s="2"/>
      <c r="W213" s="2"/>
      <c r="X213" s="2"/>
      <c r="Y213" s="2"/>
      <c r="Z213" s="2"/>
    </row>
    <row r="214" ht="15.75" customHeight="1">
      <c r="A214" s="1"/>
      <c r="B214" s="1"/>
      <c r="C214" s="1"/>
      <c r="D214" s="1"/>
      <c r="E214" s="1"/>
      <c r="F214" s="1"/>
      <c r="G214" s="1"/>
      <c r="H214" s="1"/>
      <c r="I214" s="1"/>
      <c r="J214" s="2"/>
      <c r="K214" s="2"/>
      <c r="L214" s="2"/>
      <c r="M214" s="2"/>
      <c r="N214" s="2"/>
      <c r="O214" s="2"/>
      <c r="P214" s="2"/>
      <c r="Q214" s="2"/>
      <c r="R214" s="2"/>
      <c r="S214" s="2"/>
      <c r="T214" s="2"/>
      <c r="U214" s="2"/>
      <c r="V214" s="2"/>
      <c r="W214" s="2"/>
      <c r="X214" s="2"/>
      <c r="Y214" s="2"/>
      <c r="Z214" s="2"/>
    </row>
    <row r="215" ht="15.75" customHeight="1">
      <c r="A215" s="1"/>
      <c r="B215" s="1"/>
      <c r="C215" s="1"/>
      <c r="D215" s="1"/>
      <c r="E215" s="1"/>
      <c r="F215" s="1"/>
      <c r="G215" s="1"/>
      <c r="H215" s="1"/>
      <c r="I215" s="1"/>
      <c r="J215" s="2"/>
      <c r="K215" s="2"/>
      <c r="L215" s="2"/>
      <c r="M215" s="2"/>
      <c r="N215" s="2"/>
      <c r="O215" s="2"/>
      <c r="P215" s="2"/>
      <c r="Q215" s="2"/>
      <c r="R215" s="2"/>
      <c r="S215" s="2"/>
      <c r="T215" s="2"/>
      <c r="U215" s="2"/>
      <c r="V215" s="2"/>
      <c r="W215" s="2"/>
      <c r="X215" s="2"/>
      <c r="Y215" s="2"/>
      <c r="Z215" s="2"/>
    </row>
    <row r="216" ht="15.75" customHeight="1">
      <c r="A216" s="1"/>
      <c r="B216" s="1"/>
      <c r="C216" s="1"/>
      <c r="D216" s="1"/>
      <c r="E216" s="1"/>
      <c r="F216" s="1"/>
      <c r="G216" s="1"/>
      <c r="H216" s="1"/>
      <c r="I216" s="1"/>
      <c r="J216" s="2"/>
      <c r="K216" s="2"/>
      <c r="L216" s="2"/>
      <c r="M216" s="2"/>
      <c r="N216" s="2"/>
      <c r="O216" s="2"/>
      <c r="P216" s="2"/>
      <c r="Q216" s="2"/>
      <c r="R216" s="2"/>
      <c r="S216" s="2"/>
      <c r="T216" s="2"/>
      <c r="U216" s="2"/>
      <c r="V216" s="2"/>
      <c r="W216" s="2"/>
      <c r="X216" s="2"/>
      <c r="Y216" s="2"/>
      <c r="Z216" s="2"/>
    </row>
    <row r="217" ht="15.75" customHeight="1">
      <c r="A217" s="1"/>
      <c r="B217" s="1"/>
      <c r="C217" s="1"/>
      <c r="D217" s="1"/>
      <c r="E217" s="1"/>
      <c r="F217" s="1"/>
      <c r="G217" s="1"/>
      <c r="H217" s="1"/>
      <c r="I217" s="1"/>
      <c r="J217" s="2"/>
      <c r="K217" s="2"/>
      <c r="L217" s="2"/>
      <c r="M217" s="2"/>
      <c r="N217" s="2"/>
      <c r="O217" s="2"/>
      <c r="P217" s="2"/>
      <c r="Q217" s="2"/>
      <c r="R217" s="2"/>
      <c r="S217" s="2"/>
      <c r="T217" s="2"/>
      <c r="U217" s="2"/>
      <c r="V217" s="2"/>
      <c r="W217" s="2"/>
      <c r="X217" s="2"/>
      <c r="Y217" s="2"/>
      <c r="Z217" s="2"/>
    </row>
    <row r="218" ht="15.75" customHeight="1">
      <c r="A218" s="1"/>
      <c r="B218" s="1"/>
      <c r="C218" s="1"/>
      <c r="D218" s="1"/>
      <c r="E218" s="1"/>
      <c r="F218" s="1"/>
      <c r="G218" s="1"/>
      <c r="H218" s="1"/>
      <c r="I218" s="1"/>
      <c r="J218" s="2"/>
      <c r="K218" s="2"/>
      <c r="L218" s="2"/>
      <c r="M218" s="2"/>
      <c r="N218" s="2"/>
      <c r="O218" s="2"/>
      <c r="P218" s="2"/>
      <c r="Q218" s="2"/>
      <c r="R218" s="2"/>
      <c r="S218" s="2"/>
      <c r="T218" s="2"/>
      <c r="U218" s="2"/>
      <c r="V218" s="2"/>
      <c r="W218" s="2"/>
      <c r="X218" s="2"/>
      <c r="Y218" s="2"/>
      <c r="Z218" s="2"/>
    </row>
    <row r="219" ht="15.75" customHeight="1">
      <c r="A219" s="1"/>
      <c r="B219" s="1"/>
      <c r="C219" s="1"/>
      <c r="D219" s="1"/>
      <c r="E219" s="1"/>
      <c r="F219" s="1"/>
      <c r="G219" s="1"/>
      <c r="H219" s="1"/>
      <c r="I219" s="1"/>
      <c r="J219" s="2"/>
      <c r="K219" s="2"/>
      <c r="L219" s="2"/>
      <c r="M219" s="2"/>
      <c r="N219" s="2"/>
      <c r="O219" s="2"/>
      <c r="P219" s="2"/>
      <c r="Q219" s="2"/>
      <c r="R219" s="2"/>
      <c r="S219" s="2"/>
      <c r="T219" s="2"/>
      <c r="U219" s="2"/>
      <c r="V219" s="2"/>
      <c r="W219" s="2"/>
      <c r="X219" s="2"/>
      <c r="Y219" s="2"/>
      <c r="Z219" s="2"/>
    </row>
    <row r="220" ht="15.75" customHeight="1">
      <c r="A220" s="1"/>
      <c r="B220" s="1"/>
      <c r="C220" s="1"/>
      <c r="D220" s="1"/>
      <c r="E220" s="1"/>
      <c r="F220" s="1"/>
      <c r="G220" s="1"/>
      <c r="H220" s="1"/>
      <c r="I220" s="1"/>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0.0"/>
    <col customWidth="1" min="3" max="3" width="14.0"/>
    <col customWidth="1" min="4" max="4" width="30.0"/>
    <col customWidth="1" min="5" max="6" width="8.71"/>
  </cols>
  <sheetData>
    <row r="1">
      <c r="A1" s="1"/>
      <c r="B1" s="1"/>
      <c r="C1" s="1"/>
      <c r="D1" s="1"/>
      <c r="E1" s="2"/>
      <c r="F1" s="2"/>
      <c r="G1" s="2"/>
      <c r="H1" s="2"/>
      <c r="I1" s="2"/>
      <c r="J1" s="2"/>
      <c r="K1" s="2"/>
      <c r="L1" s="2"/>
      <c r="M1" s="2"/>
      <c r="N1" s="2"/>
      <c r="O1" s="2"/>
      <c r="P1" s="2"/>
      <c r="Q1" s="2"/>
      <c r="R1" s="2"/>
      <c r="S1" s="2"/>
      <c r="T1" s="2"/>
      <c r="U1" s="2"/>
      <c r="V1" s="2"/>
      <c r="W1" s="2"/>
      <c r="X1" s="2"/>
      <c r="Y1" s="2"/>
      <c r="Z1" s="2"/>
    </row>
    <row r="2" ht="24.0" customHeight="1">
      <c r="A2" s="1"/>
      <c r="B2" s="92" t="s">
        <v>198</v>
      </c>
      <c r="C2" s="4"/>
      <c r="D2" s="5"/>
      <c r="E2" s="2"/>
      <c r="F2" s="2"/>
      <c r="G2" s="2"/>
      <c r="H2" s="2"/>
      <c r="I2" s="2"/>
      <c r="J2" s="2"/>
      <c r="K2" s="2"/>
      <c r="L2" s="2"/>
      <c r="M2" s="2"/>
      <c r="N2" s="2"/>
      <c r="O2" s="2"/>
      <c r="P2" s="2"/>
      <c r="Q2" s="2"/>
      <c r="R2" s="2"/>
      <c r="S2" s="2"/>
      <c r="T2" s="2"/>
      <c r="U2" s="2"/>
      <c r="V2" s="2"/>
      <c r="W2" s="2"/>
      <c r="X2" s="2"/>
      <c r="Y2" s="2"/>
      <c r="Z2" s="2"/>
    </row>
    <row r="3" ht="15.0" customHeight="1">
      <c r="A3" s="1"/>
      <c r="B3" s="93" t="s">
        <v>199</v>
      </c>
      <c r="C3" s="94">
        <v>65.0</v>
      </c>
      <c r="D3" s="1"/>
      <c r="E3" s="2"/>
      <c r="F3" s="2"/>
      <c r="G3" s="2"/>
      <c r="H3" s="2"/>
      <c r="I3" s="2"/>
      <c r="J3" s="2"/>
      <c r="K3" s="2"/>
      <c r="L3" s="2"/>
      <c r="M3" s="2"/>
      <c r="N3" s="2"/>
      <c r="O3" s="2"/>
      <c r="P3" s="2"/>
      <c r="Q3" s="2"/>
      <c r="R3" s="2"/>
      <c r="S3" s="2"/>
      <c r="T3" s="2"/>
      <c r="U3" s="2"/>
      <c r="V3" s="2"/>
      <c r="W3" s="2"/>
      <c r="X3" s="2"/>
      <c r="Y3" s="2"/>
      <c r="Z3" s="2"/>
    </row>
    <row r="4" ht="15.0" customHeight="1">
      <c r="A4" s="1"/>
      <c r="B4" s="93" t="s">
        <v>17</v>
      </c>
      <c r="C4" s="95">
        <v>0.6</v>
      </c>
      <c r="D4" s="1"/>
      <c r="E4" s="2"/>
      <c r="F4" s="2"/>
      <c r="G4" s="2"/>
      <c r="H4" s="2"/>
      <c r="I4" s="2"/>
      <c r="J4" s="2"/>
      <c r="K4" s="2"/>
      <c r="L4" s="2"/>
      <c r="M4" s="2"/>
      <c r="N4" s="2"/>
      <c r="O4" s="2"/>
      <c r="P4" s="2"/>
      <c r="Q4" s="2"/>
      <c r="R4" s="2"/>
      <c r="S4" s="2"/>
      <c r="T4" s="2"/>
      <c r="U4" s="2"/>
      <c r="V4" s="2"/>
      <c r="W4" s="2"/>
      <c r="X4" s="2"/>
      <c r="Y4" s="2"/>
      <c r="Z4" s="2"/>
    </row>
    <row r="5" ht="15.0" customHeight="1">
      <c r="A5" s="1"/>
      <c r="B5" s="93" t="s">
        <v>200</v>
      </c>
      <c r="C5" s="96">
        <f>1-C4</f>
        <v>0.4</v>
      </c>
      <c r="D5" s="1"/>
      <c r="E5" s="2"/>
      <c r="F5" s="2"/>
      <c r="G5" s="2"/>
      <c r="H5" s="2"/>
      <c r="I5" s="2"/>
      <c r="J5" s="2"/>
      <c r="K5" s="2"/>
      <c r="L5" s="2"/>
      <c r="M5" s="2"/>
      <c r="N5" s="2"/>
      <c r="O5" s="2"/>
      <c r="P5" s="2"/>
      <c r="Q5" s="2"/>
      <c r="R5" s="2"/>
      <c r="S5" s="2"/>
      <c r="T5" s="2"/>
      <c r="U5" s="2"/>
      <c r="V5" s="2"/>
      <c r="W5" s="2"/>
      <c r="X5" s="2"/>
      <c r="Y5" s="2"/>
      <c r="Z5" s="2"/>
    </row>
    <row r="6" ht="15.0" customHeight="1">
      <c r="A6" s="1"/>
      <c r="B6" s="93" t="s">
        <v>18</v>
      </c>
      <c r="C6" s="95">
        <v>0.15</v>
      </c>
      <c r="D6" s="1"/>
      <c r="E6" s="2"/>
      <c r="F6" s="2"/>
      <c r="G6" s="2"/>
      <c r="H6" s="2"/>
      <c r="I6" s="2"/>
      <c r="J6" s="2"/>
      <c r="K6" s="2"/>
      <c r="L6" s="2"/>
      <c r="M6" s="2"/>
      <c r="N6" s="2"/>
      <c r="O6" s="2"/>
      <c r="P6" s="2"/>
      <c r="Q6" s="2"/>
      <c r="R6" s="2"/>
      <c r="S6" s="2"/>
      <c r="T6" s="2"/>
      <c r="U6" s="2"/>
      <c r="V6" s="2"/>
      <c r="W6" s="2"/>
      <c r="X6" s="2"/>
      <c r="Y6" s="2"/>
      <c r="Z6" s="2"/>
    </row>
    <row r="7" ht="15.0" customHeight="1">
      <c r="A7" s="1"/>
      <c r="B7" s="93" t="s">
        <v>201</v>
      </c>
      <c r="C7" s="79">
        <f>C3*C4</f>
        <v>39</v>
      </c>
      <c r="D7" s="1"/>
      <c r="E7" s="2"/>
      <c r="F7" s="2"/>
      <c r="G7" s="2"/>
      <c r="H7" s="2"/>
      <c r="I7" s="2"/>
      <c r="J7" s="2"/>
      <c r="K7" s="2"/>
      <c r="L7" s="2"/>
      <c r="M7" s="2"/>
      <c r="N7" s="2"/>
      <c r="O7" s="2"/>
      <c r="P7" s="2"/>
      <c r="Q7" s="2"/>
      <c r="R7" s="2"/>
      <c r="S7" s="2"/>
      <c r="T7" s="2"/>
      <c r="U7" s="2"/>
      <c r="V7" s="2"/>
      <c r="W7" s="2"/>
      <c r="X7" s="2"/>
      <c r="Y7" s="2"/>
      <c r="Z7" s="2"/>
    </row>
    <row r="8" ht="15.0" customHeight="1">
      <c r="A8" s="1"/>
      <c r="B8" s="93" t="s">
        <v>202</v>
      </c>
      <c r="C8" s="79">
        <f>C3*(C4-C6)</f>
        <v>29.25</v>
      </c>
      <c r="D8" s="1"/>
      <c r="E8" s="2"/>
      <c r="F8" s="2"/>
      <c r="G8" s="2"/>
      <c r="H8" s="2"/>
      <c r="I8" s="2"/>
      <c r="J8" s="2"/>
      <c r="K8" s="2"/>
      <c r="L8" s="2"/>
      <c r="M8" s="2"/>
      <c r="N8" s="2"/>
      <c r="O8" s="2"/>
      <c r="P8" s="2"/>
      <c r="Q8" s="2"/>
      <c r="R8" s="2"/>
      <c r="S8" s="2"/>
      <c r="T8" s="2"/>
      <c r="U8" s="2"/>
      <c r="V8" s="2"/>
      <c r="W8" s="2"/>
      <c r="X8" s="2"/>
      <c r="Y8" s="2"/>
      <c r="Z8" s="2"/>
    </row>
    <row r="9">
      <c r="A9" s="1"/>
      <c r="B9" s="1"/>
      <c r="C9" s="1"/>
      <c r="D9" s="1"/>
      <c r="E9" s="2"/>
      <c r="F9" s="2"/>
      <c r="G9" s="2"/>
      <c r="H9" s="2"/>
      <c r="I9" s="2"/>
      <c r="J9" s="2"/>
      <c r="K9" s="2"/>
      <c r="L9" s="2"/>
      <c r="M9" s="2"/>
      <c r="N9" s="2"/>
      <c r="O9" s="2"/>
      <c r="P9" s="2"/>
      <c r="Q9" s="2"/>
      <c r="R9" s="2"/>
      <c r="S9" s="2"/>
      <c r="T9" s="2"/>
      <c r="U9" s="2"/>
      <c r="V9" s="2"/>
      <c r="W9" s="2"/>
      <c r="X9" s="2"/>
      <c r="Y9" s="2"/>
      <c r="Z9" s="2"/>
    </row>
    <row r="10" ht="15.0" customHeight="1">
      <c r="A10" s="1"/>
      <c r="B10" s="97" t="s">
        <v>203</v>
      </c>
      <c r="E10" s="2"/>
      <c r="F10" s="2"/>
      <c r="G10" s="2"/>
      <c r="H10" s="2"/>
      <c r="I10" s="2"/>
      <c r="J10" s="2"/>
      <c r="K10" s="2"/>
      <c r="L10" s="2"/>
      <c r="M10" s="2"/>
      <c r="N10" s="2"/>
      <c r="O10" s="2"/>
      <c r="P10" s="2"/>
      <c r="Q10" s="2"/>
      <c r="R10" s="2"/>
      <c r="S10" s="2"/>
      <c r="T10" s="2"/>
      <c r="U10" s="2"/>
      <c r="V10" s="2"/>
      <c r="W10" s="2"/>
      <c r="X10" s="2"/>
      <c r="Y10" s="2"/>
      <c r="Z10" s="2"/>
    </row>
    <row r="11" ht="15.0" customHeight="1">
      <c r="A11" s="1"/>
      <c r="E11" s="2"/>
      <c r="F11" s="2"/>
      <c r="G11" s="2"/>
      <c r="H11" s="2"/>
      <c r="I11" s="2"/>
      <c r="J11" s="2"/>
      <c r="K11" s="2"/>
      <c r="L11" s="2"/>
      <c r="M11" s="2"/>
      <c r="N11" s="2"/>
      <c r="O11" s="2"/>
      <c r="P11" s="2"/>
      <c r="Q11" s="2"/>
      <c r="R11" s="2"/>
      <c r="S11" s="2"/>
      <c r="T11" s="2"/>
      <c r="U11" s="2"/>
      <c r="V11" s="2"/>
      <c r="W11" s="2"/>
      <c r="X11" s="2"/>
      <c r="Y11" s="2"/>
      <c r="Z11" s="2"/>
    </row>
    <row r="12">
      <c r="A12" s="1"/>
      <c r="B12" s="1"/>
      <c r="C12" s="1"/>
      <c r="D12" s="1"/>
      <c r="E12" s="2"/>
      <c r="F12" s="2"/>
      <c r="G12" s="2"/>
      <c r="H12" s="2"/>
      <c r="I12" s="2"/>
      <c r="J12" s="2"/>
      <c r="K12" s="2"/>
      <c r="L12" s="2"/>
      <c r="M12" s="2"/>
      <c r="N12" s="2"/>
      <c r="O12" s="2"/>
      <c r="P12" s="2"/>
      <c r="Q12" s="2"/>
      <c r="R12" s="2"/>
      <c r="S12" s="2"/>
      <c r="T12" s="2"/>
      <c r="U12" s="2"/>
      <c r="V12" s="2"/>
      <c r="W12" s="2"/>
      <c r="X12" s="2"/>
      <c r="Y12" s="2"/>
      <c r="Z12" s="2"/>
    </row>
    <row r="13" ht="15.0" customHeight="1">
      <c r="A13" s="1"/>
      <c r="B13" s="98" t="s">
        <v>204</v>
      </c>
      <c r="C13" s="4"/>
      <c r="D13" s="5"/>
      <c r="E13" s="2"/>
      <c r="F13" s="2"/>
      <c r="G13" s="2"/>
      <c r="H13" s="2"/>
      <c r="I13" s="2"/>
      <c r="J13" s="2"/>
      <c r="K13" s="2"/>
      <c r="L13" s="2"/>
      <c r="M13" s="2"/>
      <c r="N13" s="2"/>
      <c r="O13" s="2"/>
      <c r="P13" s="2"/>
      <c r="Q13" s="2"/>
      <c r="R13" s="2"/>
      <c r="S13" s="2"/>
      <c r="T13" s="2"/>
      <c r="U13" s="2"/>
      <c r="V13" s="2"/>
      <c r="W13" s="2"/>
      <c r="X13" s="2"/>
      <c r="Y13" s="2"/>
      <c r="Z13" s="2"/>
    </row>
    <row r="14" ht="15.0" customHeight="1">
      <c r="A14" s="1"/>
      <c r="B14" s="99" t="s">
        <v>167</v>
      </c>
      <c r="C14" s="99" t="s">
        <v>168</v>
      </c>
      <c r="D14" s="99" t="s">
        <v>205</v>
      </c>
      <c r="E14" s="2"/>
      <c r="F14" s="2"/>
      <c r="G14" s="2"/>
      <c r="H14" s="2"/>
      <c r="I14" s="2"/>
      <c r="J14" s="2"/>
      <c r="K14" s="2"/>
      <c r="L14" s="2"/>
      <c r="M14" s="2"/>
      <c r="N14" s="2"/>
      <c r="O14" s="2"/>
      <c r="P14" s="2"/>
      <c r="Q14" s="2"/>
      <c r="R14" s="2"/>
      <c r="S14" s="2"/>
      <c r="T14" s="2"/>
      <c r="U14" s="2"/>
      <c r="V14" s="2"/>
      <c r="W14" s="2"/>
      <c r="X14" s="2"/>
      <c r="Y14" s="2"/>
      <c r="Z14" s="2"/>
    </row>
    <row r="15" ht="15.0" customHeight="1">
      <c r="A15" s="1"/>
      <c r="B15" s="75" t="s">
        <v>182</v>
      </c>
      <c r="C15" s="76">
        <v>0.85</v>
      </c>
      <c r="D15" s="75"/>
      <c r="E15" s="2"/>
      <c r="F15" s="2"/>
      <c r="G15" s="2"/>
      <c r="H15" s="2"/>
      <c r="I15" s="2"/>
      <c r="J15" s="2"/>
      <c r="K15" s="2"/>
      <c r="L15" s="2"/>
      <c r="M15" s="2"/>
      <c r="N15" s="2"/>
      <c r="O15" s="2"/>
      <c r="P15" s="2"/>
      <c r="Q15" s="2"/>
      <c r="R15" s="2"/>
      <c r="S15" s="2"/>
      <c r="T15" s="2"/>
      <c r="U15" s="2"/>
      <c r="V15" s="2"/>
      <c r="W15" s="2"/>
      <c r="X15" s="2"/>
      <c r="Y15" s="2"/>
      <c r="Z15" s="2"/>
    </row>
    <row r="16" ht="15.0" customHeight="1">
      <c r="A16" s="1"/>
      <c r="B16" s="75" t="s">
        <v>183</v>
      </c>
      <c r="C16" s="76">
        <v>0.9</v>
      </c>
      <c r="D16" s="75"/>
      <c r="E16" s="2"/>
      <c r="F16" s="2"/>
      <c r="G16" s="2"/>
      <c r="H16" s="2"/>
      <c r="I16" s="2"/>
      <c r="J16" s="2"/>
      <c r="K16" s="2"/>
      <c r="L16" s="2"/>
      <c r="M16" s="2"/>
      <c r="N16" s="2"/>
      <c r="O16" s="2"/>
      <c r="P16" s="2"/>
      <c r="Q16" s="2"/>
      <c r="R16" s="2"/>
      <c r="S16" s="2"/>
      <c r="T16" s="2"/>
      <c r="U16" s="2"/>
      <c r="V16" s="2"/>
      <c r="W16" s="2"/>
      <c r="X16" s="2"/>
      <c r="Y16" s="2"/>
      <c r="Z16" s="2"/>
    </row>
    <row r="17" ht="15.0" customHeight="1">
      <c r="A17" s="1"/>
      <c r="B17" s="75" t="s">
        <v>184</v>
      </c>
      <c r="C17" s="76">
        <v>0.95</v>
      </c>
      <c r="D17" s="75"/>
      <c r="E17" s="2"/>
      <c r="F17" s="2"/>
      <c r="G17" s="2"/>
      <c r="H17" s="2"/>
      <c r="I17" s="2"/>
      <c r="J17" s="2"/>
      <c r="K17" s="2"/>
      <c r="L17" s="2"/>
      <c r="M17" s="2"/>
      <c r="N17" s="2"/>
      <c r="O17" s="2"/>
      <c r="P17" s="2"/>
      <c r="Q17" s="2"/>
      <c r="R17" s="2"/>
      <c r="S17" s="2"/>
      <c r="T17" s="2"/>
      <c r="U17" s="2"/>
      <c r="V17" s="2"/>
      <c r="W17" s="2"/>
      <c r="X17" s="2"/>
      <c r="Y17" s="2"/>
      <c r="Z17" s="2"/>
    </row>
    <row r="18" ht="15.0" customHeight="1">
      <c r="A18" s="1"/>
      <c r="B18" s="75" t="s">
        <v>185</v>
      </c>
      <c r="C18" s="76">
        <v>1.05</v>
      </c>
      <c r="D18" s="75"/>
      <c r="E18" s="2"/>
      <c r="F18" s="2"/>
      <c r="G18" s="2"/>
      <c r="H18" s="2"/>
      <c r="I18" s="2"/>
      <c r="J18" s="2"/>
      <c r="K18" s="2"/>
      <c r="L18" s="2"/>
      <c r="M18" s="2"/>
      <c r="N18" s="2"/>
      <c r="O18" s="2"/>
      <c r="P18" s="2"/>
      <c r="Q18" s="2"/>
      <c r="R18" s="2"/>
      <c r="S18" s="2"/>
      <c r="T18" s="2"/>
      <c r="U18" s="2"/>
      <c r="V18" s="2"/>
      <c r="W18" s="2"/>
      <c r="X18" s="2"/>
      <c r="Y18" s="2"/>
      <c r="Z18" s="2"/>
    </row>
    <row r="19" ht="15.0" customHeight="1">
      <c r="A19" s="1"/>
      <c r="B19" s="75" t="s">
        <v>186</v>
      </c>
      <c r="C19" s="76">
        <v>1.5</v>
      </c>
      <c r="D19" s="75" t="s">
        <v>206</v>
      </c>
      <c r="E19" s="2"/>
      <c r="F19" s="2"/>
      <c r="G19" s="2"/>
      <c r="H19" s="2"/>
      <c r="I19" s="2"/>
      <c r="J19" s="2"/>
      <c r="K19" s="2"/>
      <c r="L19" s="2"/>
      <c r="M19" s="2"/>
      <c r="N19" s="2"/>
      <c r="O19" s="2"/>
      <c r="P19" s="2"/>
      <c r="Q19" s="2"/>
      <c r="R19" s="2"/>
      <c r="S19" s="2"/>
      <c r="T19" s="2"/>
      <c r="U19" s="2"/>
      <c r="V19" s="2"/>
      <c r="W19" s="2"/>
      <c r="X19" s="2"/>
      <c r="Y19" s="2"/>
      <c r="Z19" s="2"/>
    </row>
    <row r="20" ht="15.0" customHeight="1">
      <c r="A20" s="1"/>
      <c r="B20" s="75" t="s">
        <v>188</v>
      </c>
      <c r="C20" s="76">
        <v>1.7</v>
      </c>
      <c r="D20" s="75" t="s">
        <v>207</v>
      </c>
      <c r="E20" s="2"/>
      <c r="F20" s="2"/>
      <c r="G20" s="2"/>
      <c r="H20" s="2"/>
      <c r="I20" s="2"/>
      <c r="J20" s="2"/>
      <c r="K20" s="2"/>
      <c r="L20" s="2"/>
      <c r="M20" s="2"/>
      <c r="N20" s="2"/>
      <c r="O20" s="2"/>
      <c r="P20" s="2"/>
      <c r="Q20" s="2"/>
      <c r="R20" s="2"/>
      <c r="S20" s="2"/>
      <c r="T20" s="2"/>
      <c r="U20" s="2"/>
      <c r="V20" s="2"/>
      <c r="W20" s="2"/>
      <c r="X20" s="2"/>
      <c r="Y20" s="2"/>
      <c r="Z20" s="2"/>
    </row>
    <row r="21" ht="15.0" customHeight="1">
      <c r="A21" s="1"/>
      <c r="B21" s="75" t="s">
        <v>190</v>
      </c>
      <c r="C21" s="76">
        <v>1.2</v>
      </c>
      <c r="D21" s="75" t="s">
        <v>208</v>
      </c>
      <c r="E21" s="2"/>
      <c r="F21" s="2"/>
      <c r="G21" s="2"/>
      <c r="H21" s="2"/>
      <c r="I21" s="2"/>
      <c r="J21" s="2"/>
      <c r="K21" s="2"/>
      <c r="L21" s="2"/>
      <c r="M21" s="2"/>
      <c r="N21" s="2"/>
      <c r="O21" s="2"/>
      <c r="P21" s="2"/>
      <c r="Q21" s="2"/>
      <c r="R21" s="2"/>
      <c r="S21" s="2"/>
      <c r="T21" s="2"/>
      <c r="U21" s="2"/>
      <c r="V21" s="2"/>
      <c r="W21" s="2"/>
      <c r="X21" s="2"/>
      <c r="Y21" s="2"/>
      <c r="Z21" s="2"/>
    </row>
    <row r="22" ht="15.0" customHeight="1">
      <c r="A22" s="1"/>
      <c r="B22" s="75" t="s">
        <v>192</v>
      </c>
      <c r="C22" s="76">
        <v>1.0</v>
      </c>
      <c r="D22" s="75"/>
      <c r="E22" s="2"/>
      <c r="F22" s="2"/>
      <c r="G22" s="2"/>
      <c r="H22" s="2"/>
      <c r="I22" s="2"/>
      <c r="J22" s="2"/>
      <c r="K22" s="2"/>
      <c r="L22" s="2"/>
      <c r="M22" s="2"/>
      <c r="N22" s="2"/>
      <c r="O22" s="2"/>
      <c r="P22" s="2"/>
      <c r="Q22" s="2"/>
      <c r="R22" s="2"/>
      <c r="S22" s="2"/>
      <c r="T22" s="2"/>
      <c r="U22" s="2"/>
      <c r="V22" s="2"/>
      <c r="W22" s="2"/>
      <c r="X22" s="2"/>
      <c r="Y22" s="2"/>
      <c r="Z22" s="2"/>
    </row>
    <row r="23" ht="15.0" customHeight="1">
      <c r="A23" s="1"/>
      <c r="B23" s="75" t="s">
        <v>177</v>
      </c>
      <c r="C23" s="76">
        <v>1.0</v>
      </c>
      <c r="D23" s="75"/>
      <c r="E23" s="2"/>
      <c r="F23" s="2"/>
      <c r="G23" s="2"/>
      <c r="H23" s="2"/>
      <c r="I23" s="2"/>
      <c r="J23" s="2"/>
      <c r="K23" s="2"/>
      <c r="L23" s="2"/>
      <c r="M23" s="2"/>
      <c r="N23" s="2"/>
      <c r="O23" s="2"/>
      <c r="P23" s="2"/>
      <c r="Q23" s="2"/>
      <c r="R23" s="2"/>
      <c r="S23" s="2"/>
      <c r="T23" s="2"/>
      <c r="U23" s="2"/>
      <c r="V23" s="2"/>
      <c r="W23" s="2"/>
      <c r="X23" s="2"/>
      <c r="Y23" s="2"/>
      <c r="Z23" s="2"/>
    </row>
    <row r="24" ht="15.0" customHeight="1">
      <c r="A24" s="1"/>
      <c r="B24" s="75" t="s">
        <v>178</v>
      </c>
      <c r="C24" s="76">
        <v>0.95</v>
      </c>
      <c r="D24" s="75"/>
      <c r="E24" s="2"/>
      <c r="F24" s="2"/>
      <c r="G24" s="2"/>
      <c r="H24" s="2"/>
      <c r="I24" s="2"/>
      <c r="J24" s="2"/>
      <c r="K24" s="2"/>
      <c r="L24" s="2"/>
      <c r="M24" s="2"/>
      <c r="N24" s="2"/>
      <c r="O24" s="2"/>
      <c r="P24" s="2"/>
      <c r="Q24" s="2"/>
      <c r="R24" s="2"/>
      <c r="S24" s="2"/>
      <c r="T24" s="2"/>
      <c r="U24" s="2"/>
      <c r="V24" s="2"/>
      <c r="W24" s="2"/>
      <c r="X24" s="2"/>
      <c r="Y24" s="2"/>
      <c r="Z24" s="2"/>
    </row>
    <row r="25" ht="15.0" customHeight="1">
      <c r="A25" s="1"/>
      <c r="B25" s="75" t="s">
        <v>179</v>
      </c>
      <c r="C25" s="76">
        <v>1.05</v>
      </c>
      <c r="D25" s="75" t="s">
        <v>209</v>
      </c>
      <c r="E25" s="2"/>
      <c r="F25" s="2"/>
      <c r="G25" s="2"/>
      <c r="H25" s="2"/>
      <c r="I25" s="2"/>
      <c r="J25" s="2"/>
      <c r="K25" s="2"/>
      <c r="L25" s="2"/>
      <c r="M25" s="2"/>
      <c r="N25" s="2"/>
      <c r="O25" s="2"/>
      <c r="P25" s="2"/>
      <c r="Q25" s="2"/>
      <c r="R25" s="2"/>
      <c r="S25" s="2"/>
      <c r="T25" s="2"/>
      <c r="U25" s="2"/>
      <c r="V25" s="2"/>
      <c r="W25" s="2"/>
      <c r="X25" s="2"/>
      <c r="Y25" s="2"/>
      <c r="Z25" s="2"/>
    </row>
    <row r="26" ht="15.0" customHeight="1">
      <c r="A26" s="1"/>
      <c r="B26" s="75" t="s">
        <v>181</v>
      </c>
      <c r="C26" s="76">
        <v>0.9</v>
      </c>
      <c r="D26" s="75"/>
      <c r="E26" s="2"/>
      <c r="F26" s="2"/>
      <c r="G26" s="2"/>
      <c r="H26" s="2"/>
      <c r="I26" s="2"/>
      <c r="J26" s="2"/>
      <c r="K26" s="2"/>
      <c r="L26" s="2"/>
      <c r="M26" s="2"/>
      <c r="N26" s="2"/>
      <c r="O26" s="2"/>
      <c r="P26" s="2"/>
      <c r="Q26" s="2"/>
      <c r="R26" s="2"/>
      <c r="S26" s="2"/>
      <c r="T26" s="2"/>
      <c r="U26" s="2"/>
      <c r="V26" s="2"/>
      <c r="W26" s="2"/>
      <c r="X26" s="2"/>
      <c r="Y26" s="2"/>
      <c r="Z26" s="2"/>
    </row>
    <row r="27" ht="15.75" customHeight="1">
      <c r="A27" s="1"/>
      <c r="B27" s="1"/>
      <c r="C27" s="1"/>
      <c r="D27" s="1"/>
      <c r="E27" s="2"/>
      <c r="F27" s="2"/>
      <c r="G27" s="2"/>
      <c r="H27" s="2"/>
      <c r="I27" s="2"/>
      <c r="J27" s="2"/>
      <c r="K27" s="2"/>
      <c r="L27" s="2"/>
      <c r="M27" s="2"/>
      <c r="N27" s="2"/>
      <c r="O27" s="2"/>
      <c r="P27" s="2"/>
      <c r="Q27" s="2"/>
      <c r="R27" s="2"/>
      <c r="S27" s="2"/>
      <c r="T27" s="2"/>
      <c r="U27" s="2"/>
      <c r="V27" s="2"/>
      <c r="W27" s="2"/>
      <c r="X27" s="2"/>
      <c r="Y27" s="2"/>
      <c r="Z27" s="2"/>
    </row>
    <row r="28" ht="15.0" customHeight="1">
      <c r="A28" s="1"/>
      <c r="B28" s="98" t="s">
        <v>210</v>
      </c>
      <c r="C28" s="4"/>
      <c r="D28" s="5"/>
      <c r="E28" s="2"/>
      <c r="F28" s="2"/>
      <c r="G28" s="2"/>
      <c r="H28" s="2"/>
      <c r="I28" s="2"/>
      <c r="J28" s="2"/>
      <c r="K28" s="2"/>
      <c r="L28" s="2"/>
      <c r="M28" s="2"/>
      <c r="N28" s="2"/>
      <c r="O28" s="2"/>
      <c r="P28" s="2"/>
      <c r="Q28" s="2"/>
      <c r="R28" s="2"/>
      <c r="S28" s="2"/>
      <c r="T28" s="2"/>
      <c r="U28" s="2"/>
      <c r="V28" s="2"/>
      <c r="W28" s="2"/>
      <c r="X28" s="2"/>
      <c r="Y28" s="2"/>
      <c r="Z28" s="2"/>
    </row>
    <row r="29" ht="23.25" customHeight="1">
      <c r="A29" s="1"/>
      <c r="B29" s="100" t="s">
        <v>44</v>
      </c>
      <c r="C29" s="101" t="s">
        <v>211</v>
      </c>
      <c r="D29" s="102"/>
      <c r="E29" s="2"/>
      <c r="F29" s="2"/>
      <c r="G29" s="2"/>
      <c r="H29" s="2"/>
      <c r="I29" s="2"/>
      <c r="J29" s="2"/>
      <c r="K29" s="2"/>
      <c r="L29" s="2"/>
      <c r="M29" s="2"/>
      <c r="N29" s="2"/>
      <c r="O29" s="2"/>
      <c r="P29" s="2"/>
      <c r="Q29" s="2"/>
      <c r="R29" s="2"/>
      <c r="S29" s="2"/>
      <c r="T29" s="2"/>
      <c r="U29" s="2"/>
      <c r="V29" s="2"/>
      <c r="W29" s="2"/>
      <c r="X29" s="2"/>
      <c r="Y29" s="2"/>
      <c r="Z29" s="2"/>
    </row>
    <row r="30" ht="23.25" customHeight="1">
      <c r="A30" s="1"/>
      <c r="B30" s="100" t="s">
        <v>46</v>
      </c>
      <c r="C30" s="101" t="s">
        <v>212</v>
      </c>
      <c r="D30" s="102"/>
      <c r="E30" s="2"/>
      <c r="F30" s="2"/>
      <c r="G30" s="2"/>
      <c r="H30" s="2"/>
      <c r="I30" s="2"/>
      <c r="J30" s="2"/>
      <c r="K30" s="2"/>
      <c r="L30" s="2"/>
      <c r="M30" s="2"/>
      <c r="N30" s="2"/>
      <c r="O30" s="2"/>
      <c r="P30" s="2"/>
      <c r="Q30" s="2"/>
      <c r="R30" s="2"/>
      <c r="S30" s="2"/>
      <c r="T30" s="2"/>
      <c r="U30" s="2"/>
      <c r="V30" s="2"/>
      <c r="W30" s="2"/>
      <c r="X30" s="2"/>
      <c r="Y30" s="2"/>
      <c r="Z30" s="2"/>
    </row>
    <row r="31" ht="23.25" customHeight="1">
      <c r="A31" s="1"/>
      <c r="B31" s="100" t="s">
        <v>48</v>
      </c>
      <c r="C31" s="101" t="s">
        <v>213</v>
      </c>
      <c r="D31" s="102"/>
      <c r="E31" s="2"/>
      <c r="F31" s="2"/>
      <c r="G31" s="2"/>
      <c r="H31" s="2"/>
      <c r="I31" s="2"/>
      <c r="J31" s="2"/>
      <c r="K31" s="2"/>
      <c r="L31" s="2"/>
      <c r="M31" s="2"/>
      <c r="N31" s="2"/>
      <c r="O31" s="2"/>
      <c r="P31" s="2"/>
      <c r="Q31" s="2"/>
      <c r="R31" s="2"/>
      <c r="S31" s="2"/>
      <c r="T31" s="2"/>
      <c r="U31" s="2"/>
      <c r="V31" s="2"/>
      <c r="W31" s="2"/>
      <c r="X31" s="2"/>
      <c r="Y31" s="2"/>
      <c r="Z31" s="2"/>
    </row>
    <row r="32" ht="23.25" customHeight="1">
      <c r="A32" s="1"/>
      <c r="B32" s="100" t="s">
        <v>50</v>
      </c>
      <c r="C32" s="101" t="s">
        <v>214</v>
      </c>
      <c r="D32" s="102"/>
      <c r="E32" s="2"/>
      <c r="F32" s="2"/>
      <c r="G32" s="2"/>
      <c r="H32" s="2"/>
      <c r="I32" s="2"/>
      <c r="J32" s="2"/>
      <c r="K32" s="2"/>
      <c r="L32" s="2"/>
      <c r="M32" s="2"/>
      <c r="N32" s="2"/>
      <c r="O32" s="2"/>
      <c r="P32" s="2"/>
      <c r="Q32" s="2"/>
      <c r="R32" s="2"/>
      <c r="S32" s="2"/>
      <c r="T32" s="2"/>
      <c r="U32" s="2"/>
      <c r="V32" s="2"/>
      <c r="W32" s="2"/>
      <c r="X32" s="2"/>
      <c r="Y32" s="2"/>
      <c r="Z32" s="2"/>
    </row>
    <row r="33" ht="15.75" customHeight="1">
      <c r="A33" s="1"/>
      <c r="B33" s="1"/>
      <c r="C33" s="1"/>
      <c r="D33" s="1"/>
      <c r="E33" s="2"/>
      <c r="F33" s="2"/>
      <c r="G33" s="2"/>
      <c r="H33" s="2"/>
      <c r="I33" s="2"/>
      <c r="J33" s="2"/>
      <c r="K33" s="2"/>
      <c r="L33" s="2"/>
      <c r="M33" s="2"/>
      <c r="N33" s="2"/>
      <c r="O33" s="2"/>
      <c r="P33" s="2"/>
      <c r="Q33" s="2"/>
      <c r="R33" s="2"/>
      <c r="S33" s="2"/>
      <c r="T33" s="2"/>
      <c r="U33" s="2"/>
      <c r="V33" s="2"/>
      <c r="W33" s="2"/>
      <c r="X33" s="2"/>
      <c r="Y33" s="2"/>
      <c r="Z33" s="2"/>
    </row>
    <row r="34" ht="15.75" customHeight="1">
      <c r="A34" s="1"/>
      <c r="B34" s="1"/>
      <c r="C34" s="1"/>
      <c r="D34" s="1"/>
      <c r="E34" s="2"/>
      <c r="F34" s="2"/>
      <c r="G34" s="2"/>
      <c r="H34" s="2"/>
      <c r="I34" s="2"/>
      <c r="J34" s="2"/>
      <c r="K34" s="2"/>
      <c r="L34" s="2"/>
      <c r="M34" s="2"/>
      <c r="N34" s="2"/>
      <c r="O34" s="2"/>
      <c r="P34" s="2"/>
      <c r="Q34" s="2"/>
      <c r="R34" s="2"/>
      <c r="S34" s="2"/>
      <c r="T34" s="2"/>
      <c r="U34" s="2"/>
      <c r="V34" s="2"/>
      <c r="W34" s="2"/>
      <c r="X34" s="2"/>
      <c r="Y34" s="2"/>
      <c r="Z34" s="2"/>
    </row>
    <row r="35" ht="15.75" customHeight="1">
      <c r="A35" s="1"/>
      <c r="B35" s="1"/>
      <c r="C35" s="1"/>
      <c r="D35" s="1"/>
      <c r="E35" s="2"/>
      <c r="F35" s="2"/>
      <c r="G35" s="2"/>
      <c r="H35" s="2"/>
      <c r="I35" s="2"/>
      <c r="J35" s="2"/>
      <c r="K35" s="2"/>
      <c r="L35" s="2"/>
      <c r="M35" s="2"/>
      <c r="N35" s="2"/>
      <c r="O35" s="2"/>
      <c r="P35" s="2"/>
      <c r="Q35" s="2"/>
      <c r="R35" s="2"/>
      <c r="S35" s="2"/>
      <c r="T35" s="2"/>
      <c r="U35" s="2"/>
      <c r="V35" s="2"/>
      <c r="W35" s="2"/>
      <c r="X35" s="2"/>
      <c r="Y35" s="2"/>
      <c r="Z35" s="2"/>
    </row>
    <row r="36" ht="15.75" customHeight="1">
      <c r="A36" s="1"/>
      <c r="B36" s="1"/>
      <c r="C36" s="1"/>
      <c r="D36" s="1"/>
      <c r="E36" s="2"/>
      <c r="F36" s="2"/>
      <c r="G36" s="2"/>
      <c r="H36" s="2"/>
      <c r="I36" s="2"/>
      <c r="J36" s="2"/>
      <c r="K36" s="2"/>
      <c r="L36" s="2"/>
      <c r="M36" s="2"/>
      <c r="N36" s="2"/>
      <c r="O36" s="2"/>
      <c r="P36" s="2"/>
      <c r="Q36" s="2"/>
      <c r="R36" s="2"/>
      <c r="S36" s="2"/>
      <c r="T36" s="2"/>
      <c r="U36" s="2"/>
      <c r="V36" s="2"/>
      <c r="W36" s="2"/>
      <c r="X36" s="2"/>
      <c r="Y36" s="2"/>
      <c r="Z36" s="2"/>
    </row>
    <row r="37" ht="15.75" customHeight="1">
      <c r="A37" s="1"/>
      <c r="B37" s="1"/>
      <c r="C37" s="1"/>
      <c r="D37" s="1"/>
      <c r="E37" s="2"/>
      <c r="F37" s="2"/>
      <c r="G37" s="2"/>
      <c r="H37" s="2"/>
      <c r="I37" s="2"/>
      <c r="J37" s="2"/>
      <c r="K37" s="2"/>
      <c r="L37" s="2"/>
      <c r="M37" s="2"/>
      <c r="N37" s="2"/>
      <c r="O37" s="2"/>
      <c r="P37" s="2"/>
      <c r="Q37" s="2"/>
      <c r="R37" s="2"/>
      <c r="S37" s="2"/>
      <c r="T37" s="2"/>
      <c r="U37" s="2"/>
      <c r="V37" s="2"/>
      <c r="W37" s="2"/>
      <c r="X37" s="2"/>
      <c r="Y37" s="2"/>
      <c r="Z37" s="2"/>
    </row>
    <row r="38" ht="15.75" customHeight="1">
      <c r="A38" s="1"/>
      <c r="B38" s="1"/>
      <c r="C38" s="1"/>
      <c r="D38" s="1"/>
      <c r="E38" s="2"/>
      <c r="F38" s="2"/>
      <c r="G38" s="2"/>
      <c r="H38" s="2"/>
      <c r="I38" s="2"/>
      <c r="J38" s="2"/>
      <c r="K38" s="2"/>
      <c r="L38" s="2"/>
      <c r="M38" s="2"/>
      <c r="N38" s="2"/>
      <c r="O38" s="2"/>
      <c r="P38" s="2"/>
      <c r="Q38" s="2"/>
      <c r="R38" s="2"/>
      <c r="S38" s="2"/>
      <c r="T38" s="2"/>
      <c r="U38" s="2"/>
      <c r="V38" s="2"/>
      <c r="W38" s="2"/>
      <c r="X38" s="2"/>
      <c r="Y38" s="2"/>
      <c r="Z38" s="2"/>
    </row>
    <row r="39" ht="15.75" customHeight="1">
      <c r="A39" s="1"/>
      <c r="B39" s="1"/>
      <c r="C39" s="1"/>
      <c r="D39" s="1"/>
      <c r="E39" s="2"/>
      <c r="F39" s="2"/>
      <c r="G39" s="2"/>
      <c r="H39" s="2"/>
      <c r="I39" s="2"/>
      <c r="J39" s="2"/>
      <c r="K39" s="2"/>
      <c r="L39" s="2"/>
      <c r="M39" s="2"/>
      <c r="N39" s="2"/>
      <c r="O39" s="2"/>
      <c r="P39" s="2"/>
      <c r="Q39" s="2"/>
      <c r="R39" s="2"/>
      <c r="S39" s="2"/>
      <c r="T39" s="2"/>
      <c r="U39" s="2"/>
      <c r="V39" s="2"/>
      <c r="W39" s="2"/>
      <c r="X39" s="2"/>
      <c r="Y39" s="2"/>
      <c r="Z39" s="2"/>
    </row>
    <row r="40" ht="15.75" customHeight="1">
      <c r="A40" s="1"/>
      <c r="B40" s="1"/>
      <c r="C40" s="1"/>
      <c r="D40" s="1"/>
      <c r="E40" s="2"/>
      <c r="F40" s="2"/>
      <c r="G40" s="2"/>
      <c r="H40" s="2"/>
      <c r="I40" s="2"/>
      <c r="J40" s="2"/>
      <c r="K40" s="2"/>
      <c r="L40" s="2"/>
      <c r="M40" s="2"/>
      <c r="N40" s="2"/>
      <c r="O40" s="2"/>
      <c r="P40" s="2"/>
      <c r="Q40" s="2"/>
      <c r="R40" s="2"/>
      <c r="S40" s="2"/>
      <c r="T40" s="2"/>
      <c r="U40" s="2"/>
      <c r="V40" s="2"/>
      <c r="W40" s="2"/>
      <c r="X40" s="2"/>
      <c r="Y40" s="2"/>
      <c r="Z40" s="2"/>
    </row>
    <row r="41" ht="15.75" customHeight="1">
      <c r="A41" s="1"/>
      <c r="B41" s="1"/>
      <c r="C41" s="1"/>
      <c r="D41" s="1"/>
      <c r="E41" s="2"/>
      <c r="F41" s="2"/>
      <c r="G41" s="2"/>
      <c r="H41" s="2"/>
      <c r="I41" s="2"/>
      <c r="J41" s="2"/>
      <c r="K41" s="2"/>
      <c r="L41" s="2"/>
      <c r="M41" s="2"/>
      <c r="N41" s="2"/>
      <c r="O41" s="2"/>
      <c r="P41" s="2"/>
      <c r="Q41" s="2"/>
      <c r="R41" s="2"/>
      <c r="S41" s="2"/>
      <c r="T41" s="2"/>
      <c r="U41" s="2"/>
      <c r="V41" s="2"/>
      <c r="W41" s="2"/>
      <c r="X41" s="2"/>
      <c r="Y41" s="2"/>
      <c r="Z41" s="2"/>
    </row>
    <row r="42" ht="15.75" customHeight="1">
      <c r="A42" s="1"/>
      <c r="B42" s="1"/>
      <c r="C42" s="1"/>
      <c r="D42" s="1"/>
      <c r="E42" s="2"/>
      <c r="F42" s="2"/>
      <c r="G42" s="2"/>
      <c r="H42" s="2"/>
      <c r="I42" s="2"/>
      <c r="J42" s="2"/>
      <c r="K42" s="2"/>
      <c r="L42" s="2"/>
      <c r="M42" s="2"/>
      <c r="N42" s="2"/>
      <c r="O42" s="2"/>
      <c r="P42" s="2"/>
      <c r="Q42" s="2"/>
      <c r="R42" s="2"/>
      <c r="S42" s="2"/>
      <c r="T42" s="2"/>
      <c r="U42" s="2"/>
      <c r="V42" s="2"/>
      <c r="W42" s="2"/>
      <c r="X42" s="2"/>
      <c r="Y42" s="2"/>
      <c r="Z42" s="2"/>
    </row>
    <row r="43" ht="15.75" customHeight="1">
      <c r="A43" s="1"/>
      <c r="B43" s="1"/>
      <c r="C43" s="1"/>
      <c r="D43" s="1"/>
      <c r="E43" s="2"/>
      <c r="F43" s="2"/>
      <c r="G43" s="2"/>
      <c r="H43" s="2"/>
      <c r="I43" s="2"/>
      <c r="J43" s="2"/>
      <c r="K43" s="2"/>
      <c r="L43" s="2"/>
      <c r="M43" s="2"/>
      <c r="N43" s="2"/>
      <c r="O43" s="2"/>
      <c r="P43" s="2"/>
      <c r="Q43" s="2"/>
      <c r="R43" s="2"/>
      <c r="S43" s="2"/>
      <c r="T43" s="2"/>
      <c r="U43" s="2"/>
      <c r="V43" s="2"/>
      <c r="W43" s="2"/>
      <c r="X43" s="2"/>
      <c r="Y43" s="2"/>
      <c r="Z43" s="2"/>
    </row>
    <row r="44" ht="15.75" customHeight="1">
      <c r="A44" s="1"/>
      <c r="B44" s="1"/>
      <c r="C44" s="1"/>
      <c r="D44" s="1"/>
      <c r="E44" s="2"/>
      <c r="F44" s="2"/>
      <c r="G44" s="2"/>
      <c r="H44" s="2"/>
      <c r="I44" s="2"/>
      <c r="J44" s="2"/>
      <c r="K44" s="2"/>
      <c r="L44" s="2"/>
      <c r="M44" s="2"/>
      <c r="N44" s="2"/>
      <c r="O44" s="2"/>
      <c r="P44" s="2"/>
      <c r="Q44" s="2"/>
      <c r="R44" s="2"/>
      <c r="S44" s="2"/>
      <c r="T44" s="2"/>
      <c r="U44" s="2"/>
      <c r="V44" s="2"/>
      <c r="W44" s="2"/>
      <c r="X44" s="2"/>
      <c r="Y44" s="2"/>
      <c r="Z44" s="2"/>
    </row>
    <row r="45" ht="15.75" customHeight="1">
      <c r="A45" s="1"/>
      <c r="B45" s="1"/>
      <c r="C45" s="1"/>
      <c r="D45" s="1"/>
      <c r="E45" s="2"/>
      <c r="F45" s="2"/>
      <c r="G45" s="2"/>
      <c r="H45" s="2"/>
      <c r="I45" s="2"/>
      <c r="J45" s="2"/>
      <c r="K45" s="2"/>
      <c r="L45" s="2"/>
      <c r="M45" s="2"/>
      <c r="N45" s="2"/>
      <c r="O45" s="2"/>
      <c r="P45" s="2"/>
      <c r="Q45" s="2"/>
      <c r="R45" s="2"/>
      <c r="S45" s="2"/>
      <c r="T45" s="2"/>
      <c r="U45" s="2"/>
      <c r="V45" s="2"/>
      <c r="W45" s="2"/>
      <c r="X45" s="2"/>
      <c r="Y45" s="2"/>
      <c r="Z45" s="2"/>
    </row>
    <row r="46" ht="15.75" customHeight="1">
      <c r="A46" s="1"/>
      <c r="B46" s="1"/>
      <c r="C46" s="1"/>
      <c r="D46" s="1"/>
      <c r="E46" s="2"/>
      <c r="F46" s="2"/>
      <c r="G46" s="2"/>
      <c r="H46" s="2"/>
      <c r="I46" s="2"/>
      <c r="J46" s="2"/>
      <c r="K46" s="2"/>
      <c r="L46" s="2"/>
      <c r="M46" s="2"/>
      <c r="N46" s="2"/>
      <c r="O46" s="2"/>
      <c r="P46" s="2"/>
      <c r="Q46" s="2"/>
      <c r="R46" s="2"/>
      <c r="S46" s="2"/>
      <c r="T46" s="2"/>
      <c r="U46" s="2"/>
      <c r="V46" s="2"/>
      <c r="W46" s="2"/>
      <c r="X46" s="2"/>
      <c r="Y46" s="2"/>
      <c r="Z46" s="2"/>
    </row>
    <row r="47" ht="15.75" customHeight="1">
      <c r="A47" s="1"/>
      <c r="B47" s="1"/>
      <c r="C47" s="1"/>
      <c r="D47" s="1"/>
      <c r="E47" s="2"/>
      <c r="F47" s="2"/>
      <c r="G47" s="2"/>
      <c r="H47" s="2"/>
      <c r="I47" s="2"/>
      <c r="J47" s="2"/>
      <c r="K47" s="2"/>
      <c r="L47" s="2"/>
      <c r="M47" s="2"/>
      <c r="N47" s="2"/>
      <c r="O47" s="2"/>
      <c r="P47" s="2"/>
      <c r="Q47" s="2"/>
      <c r="R47" s="2"/>
      <c r="S47" s="2"/>
      <c r="T47" s="2"/>
      <c r="U47" s="2"/>
      <c r="V47" s="2"/>
      <c r="W47" s="2"/>
      <c r="X47" s="2"/>
      <c r="Y47" s="2"/>
      <c r="Z47" s="2"/>
    </row>
    <row r="48" ht="15.75" customHeight="1">
      <c r="A48" s="1"/>
      <c r="B48" s="1"/>
      <c r="C48" s="1"/>
      <c r="D48" s="1"/>
      <c r="E48" s="2"/>
      <c r="F48" s="2"/>
      <c r="G48" s="2"/>
      <c r="H48" s="2"/>
      <c r="I48" s="2"/>
      <c r="J48" s="2"/>
      <c r="K48" s="2"/>
      <c r="L48" s="2"/>
      <c r="M48" s="2"/>
      <c r="N48" s="2"/>
      <c r="O48" s="2"/>
      <c r="P48" s="2"/>
      <c r="Q48" s="2"/>
      <c r="R48" s="2"/>
      <c r="S48" s="2"/>
      <c r="T48" s="2"/>
      <c r="U48" s="2"/>
      <c r="V48" s="2"/>
      <c r="W48" s="2"/>
      <c r="X48" s="2"/>
      <c r="Y48" s="2"/>
      <c r="Z48" s="2"/>
    </row>
    <row r="49" ht="15.75" customHeight="1">
      <c r="A49" s="1"/>
      <c r="B49" s="1"/>
      <c r="C49" s="1"/>
      <c r="D49" s="1"/>
      <c r="E49" s="2"/>
      <c r="F49" s="2"/>
      <c r="G49" s="2"/>
      <c r="H49" s="2"/>
      <c r="I49" s="2"/>
      <c r="J49" s="2"/>
      <c r="K49" s="2"/>
      <c r="L49" s="2"/>
      <c r="M49" s="2"/>
      <c r="N49" s="2"/>
      <c r="O49" s="2"/>
      <c r="P49" s="2"/>
      <c r="Q49" s="2"/>
      <c r="R49" s="2"/>
      <c r="S49" s="2"/>
      <c r="T49" s="2"/>
      <c r="U49" s="2"/>
      <c r="V49" s="2"/>
      <c r="W49" s="2"/>
      <c r="X49" s="2"/>
      <c r="Y49" s="2"/>
      <c r="Z49" s="2"/>
    </row>
    <row r="50" ht="15.75" customHeight="1">
      <c r="A50" s="1"/>
      <c r="B50" s="1"/>
      <c r="C50" s="1"/>
      <c r="D50" s="1"/>
      <c r="E50" s="2"/>
      <c r="F50" s="2"/>
      <c r="G50" s="2"/>
      <c r="H50" s="2"/>
      <c r="I50" s="2"/>
      <c r="J50" s="2"/>
      <c r="K50" s="2"/>
      <c r="L50" s="2"/>
      <c r="M50" s="2"/>
      <c r="N50" s="2"/>
      <c r="O50" s="2"/>
      <c r="P50" s="2"/>
      <c r="Q50" s="2"/>
      <c r="R50" s="2"/>
      <c r="S50" s="2"/>
      <c r="T50" s="2"/>
      <c r="U50" s="2"/>
      <c r="V50" s="2"/>
      <c r="W50" s="2"/>
      <c r="X50" s="2"/>
      <c r="Y50" s="2"/>
      <c r="Z50" s="2"/>
    </row>
    <row r="51" ht="15.75" customHeight="1">
      <c r="A51" s="1"/>
      <c r="B51" s="1"/>
      <c r="C51" s="1"/>
      <c r="D51" s="1"/>
      <c r="E51" s="2"/>
      <c r="F51" s="2"/>
      <c r="G51" s="2"/>
      <c r="H51" s="2"/>
      <c r="I51" s="2"/>
      <c r="J51" s="2"/>
      <c r="K51" s="2"/>
      <c r="L51" s="2"/>
      <c r="M51" s="2"/>
      <c r="N51" s="2"/>
      <c r="O51" s="2"/>
      <c r="P51" s="2"/>
      <c r="Q51" s="2"/>
      <c r="R51" s="2"/>
      <c r="S51" s="2"/>
      <c r="T51" s="2"/>
      <c r="U51" s="2"/>
      <c r="V51" s="2"/>
      <c r="W51" s="2"/>
      <c r="X51" s="2"/>
      <c r="Y51" s="2"/>
      <c r="Z51" s="2"/>
    </row>
    <row r="52" ht="15.75" customHeight="1">
      <c r="A52" s="1"/>
      <c r="B52" s="1"/>
      <c r="C52" s="1"/>
      <c r="D52" s="1"/>
      <c r="E52" s="2"/>
      <c r="F52" s="2"/>
      <c r="G52" s="2"/>
      <c r="H52" s="2"/>
      <c r="I52" s="2"/>
      <c r="J52" s="2"/>
      <c r="K52" s="2"/>
      <c r="L52" s="2"/>
      <c r="M52" s="2"/>
      <c r="N52" s="2"/>
      <c r="O52" s="2"/>
      <c r="P52" s="2"/>
      <c r="Q52" s="2"/>
      <c r="R52" s="2"/>
      <c r="S52" s="2"/>
      <c r="T52" s="2"/>
      <c r="U52" s="2"/>
      <c r="V52" s="2"/>
      <c r="W52" s="2"/>
      <c r="X52" s="2"/>
      <c r="Y52" s="2"/>
      <c r="Z52" s="2"/>
    </row>
    <row r="53" ht="15.75" customHeight="1">
      <c r="A53" s="1"/>
      <c r="B53" s="1"/>
      <c r="C53" s="1"/>
      <c r="D53" s="1"/>
      <c r="E53" s="2"/>
      <c r="F53" s="2"/>
      <c r="G53" s="2"/>
      <c r="H53" s="2"/>
      <c r="I53" s="2"/>
      <c r="J53" s="2"/>
      <c r="K53" s="2"/>
      <c r="L53" s="2"/>
      <c r="M53" s="2"/>
      <c r="N53" s="2"/>
      <c r="O53" s="2"/>
      <c r="P53" s="2"/>
      <c r="Q53" s="2"/>
      <c r="R53" s="2"/>
      <c r="S53" s="2"/>
      <c r="T53" s="2"/>
      <c r="U53" s="2"/>
      <c r="V53" s="2"/>
      <c r="W53" s="2"/>
      <c r="X53" s="2"/>
      <c r="Y53" s="2"/>
      <c r="Z53" s="2"/>
    </row>
    <row r="54" ht="15.75" customHeight="1">
      <c r="A54" s="1"/>
      <c r="B54" s="1"/>
      <c r="C54" s="1"/>
      <c r="D54" s="1"/>
      <c r="E54" s="2"/>
      <c r="F54" s="2"/>
      <c r="G54" s="2"/>
      <c r="H54" s="2"/>
      <c r="I54" s="2"/>
      <c r="J54" s="2"/>
      <c r="K54" s="2"/>
      <c r="L54" s="2"/>
      <c r="M54" s="2"/>
      <c r="N54" s="2"/>
      <c r="O54" s="2"/>
      <c r="P54" s="2"/>
      <c r="Q54" s="2"/>
      <c r="R54" s="2"/>
      <c r="S54" s="2"/>
      <c r="T54" s="2"/>
      <c r="U54" s="2"/>
      <c r="V54" s="2"/>
      <c r="W54" s="2"/>
      <c r="X54" s="2"/>
      <c r="Y54" s="2"/>
      <c r="Z54" s="2"/>
    </row>
    <row r="55" ht="15.75" customHeight="1">
      <c r="A55" s="1"/>
      <c r="B55" s="1"/>
      <c r="C55" s="1"/>
      <c r="D55" s="1"/>
      <c r="E55" s="2"/>
      <c r="F55" s="2"/>
      <c r="G55" s="2"/>
      <c r="H55" s="2"/>
      <c r="I55" s="2"/>
      <c r="J55" s="2"/>
      <c r="K55" s="2"/>
      <c r="L55" s="2"/>
      <c r="M55" s="2"/>
      <c r="N55" s="2"/>
      <c r="O55" s="2"/>
      <c r="P55" s="2"/>
      <c r="Q55" s="2"/>
      <c r="R55" s="2"/>
      <c r="S55" s="2"/>
      <c r="T55" s="2"/>
      <c r="U55" s="2"/>
      <c r="V55" s="2"/>
      <c r="W55" s="2"/>
      <c r="X55" s="2"/>
      <c r="Y55" s="2"/>
      <c r="Z55" s="2"/>
    </row>
    <row r="56" ht="15.75" customHeight="1">
      <c r="A56" s="1"/>
      <c r="B56" s="1"/>
      <c r="C56" s="1"/>
      <c r="D56" s="1"/>
      <c r="E56" s="2"/>
      <c r="F56" s="2"/>
      <c r="G56" s="2"/>
      <c r="H56" s="2"/>
      <c r="I56" s="2"/>
      <c r="J56" s="2"/>
      <c r="K56" s="2"/>
      <c r="L56" s="2"/>
      <c r="M56" s="2"/>
      <c r="N56" s="2"/>
      <c r="O56" s="2"/>
      <c r="P56" s="2"/>
      <c r="Q56" s="2"/>
      <c r="R56" s="2"/>
      <c r="S56" s="2"/>
      <c r="T56" s="2"/>
      <c r="U56" s="2"/>
      <c r="V56" s="2"/>
      <c r="W56" s="2"/>
      <c r="X56" s="2"/>
      <c r="Y56" s="2"/>
      <c r="Z56" s="2"/>
    </row>
    <row r="57" ht="15.75" customHeight="1">
      <c r="A57" s="1"/>
      <c r="B57" s="1"/>
      <c r="C57" s="1"/>
      <c r="D57" s="1"/>
      <c r="E57" s="2"/>
      <c r="F57" s="2"/>
      <c r="G57" s="2"/>
      <c r="H57" s="2"/>
      <c r="I57" s="2"/>
      <c r="J57" s="2"/>
      <c r="K57" s="2"/>
      <c r="L57" s="2"/>
      <c r="M57" s="2"/>
      <c r="N57" s="2"/>
      <c r="O57" s="2"/>
      <c r="P57" s="2"/>
      <c r="Q57" s="2"/>
      <c r="R57" s="2"/>
      <c r="S57" s="2"/>
      <c r="T57" s="2"/>
      <c r="U57" s="2"/>
      <c r="V57" s="2"/>
      <c r="W57" s="2"/>
      <c r="X57" s="2"/>
      <c r="Y57" s="2"/>
      <c r="Z57" s="2"/>
    </row>
    <row r="58" ht="15.75" customHeight="1">
      <c r="A58" s="1"/>
      <c r="B58" s="1"/>
      <c r="C58" s="1"/>
      <c r="D58" s="1"/>
      <c r="E58" s="2"/>
      <c r="F58" s="2"/>
      <c r="G58" s="2"/>
      <c r="H58" s="2"/>
      <c r="I58" s="2"/>
      <c r="J58" s="2"/>
      <c r="K58" s="2"/>
      <c r="L58" s="2"/>
      <c r="M58" s="2"/>
      <c r="N58" s="2"/>
      <c r="O58" s="2"/>
      <c r="P58" s="2"/>
      <c r="Q58" s="2"/>
      <c r="R58" s="2"/>
      <c r="S58" s="2"/>
      <c r="T58" s="2"/>
      <c r="U58" s="2"/>
      <c r="V58" s="2"/>
      <c r="W58" s="2"/>
      <c r="X58" s="2"/>
      <c r="Y58" s="2"/>
      <c r="Z58" s="2"/>
    </row>
    <row r="59" ht="15.75" customHeight="1">
      <c r="A59" s="1"/>
      <c r="B59" s="1"/>
      <c r="C59" s="1"/>
      <c r="D59" s="1"/>
      <c r="E59" s="2"/>
      <c r="F59" s="2"/>
      <c r="G59" s="2"/>
      <c r="H59" s="2"/>
      <c r="I59" s="2"/>
      <c r="J59" s="2"/>
      <c r="K59" s="2"/>
      <c r="L59" s="2"/>
      <c r="M59" s="2"/>
      <c r="N59" s="2"/>
      <c r="O59" s="2"/>
      <c r="P59" s="2"/>
      <c r="Q59" s="2"/>
      <c r="R59" s="2"/>
      <c r="S59" s="2"/>
      <c r="T59" s="2"/>
      <c r="U59" s="2"/>
      <c r="V59" s="2"/>
      <c r="W59" s="2"/>
      <c r="X59" s="2"/>
      <c r="Y59" s="2"/>
      <c r="Z59" s="2"/>
    </row>
    <row r="60" ht="15.75" customHeight="1">
      <c r="A60" s="1"/>
      <c r="B60" s="1"/>
      <c r="C60" s="1"/>
      <c r="D60" s="1"/>
      <c r="E60" s="2"/>
      <c r="F60" s="2"/>
      <c r="G60" s="2"/>
      <c r="H60" s="2"/>
      <c r="I60" s="2"/>
      <c r="J60" s="2"/>
      <c r="K60" s="2"/>
      <c r="L60" s="2"/>
      <c r="M60" s="2"/>
      <c r="N60" s="2"/>
      <c r="O60" s="2"/>
      <c r="P60" s="2"/>
      <c r="Q60" s="2"/>
      <c r="R60" s="2"/>
      <c r="S60" s="2"/>
      <c r="T60" s="2"/>
      <c r="U60" s="2"/>
      <c r="V60" s="2"/>
      <c r="W60" s="2"/>
      <c r="X60" s="2"/>
      <c r="Y60" s="2"/>
      <c r="Z60" s="2"/>
    </row>
    <row r="61" ht="15.75" customHeight="1">
      <c r="A61" s="1"/>
      <c r="B61" s="1"/>
      <c r="C61" s="1"/>
      <c r="D61" s="1"/>
      <c r="E61" s="2"/>
      <c r="F61" s="2"/>
      <c r="G61" s="2"/>
      <c r="H61" s="2"/>
      <c r="I61" s="2"/>
      <c r="J61" s="2"/>
      <c r="K61" s="2"/>
      <c r="L61" s="2"/>
      <c r="M61" s="2"/>
      <c r="N61" s="2"/>
      <c r="O61" s="2"/>
      <c r="P61" s="2"/>
      <c r="Q61" s="2"/>
      <c r="R61" s="2"/>
      <c r="S61" s="2"/>
      <c r="T61" s="2"/>
      <c r="U61" s="2"/>
      <c r="V61" s="2"/>
      <c r="W61" s="2"/>
      <c r="X61" s="2"/>
      <c r="Y61" s="2"/>
      <c r="Z61" s="2"/>
    </row>
    <row r="62" ht="15.75" customHeight="1">
      <c r="A62" s="1"/>
      <c r="B62" s="1"/>
      <c r="C62" s="1"/>
      <c r="D62" s="1"/>
      <c r="E62" s="2"/>
      <c r="F62" s="2"/>
      <c r="G62" s="2"/>
      <c r="H62" s="2"/>
      <c r="I62" s="2"/>
      <c r="J62" s="2"/>
      <c r="K62" s="2"/>
      <c r="L62" s="2"/>
      <c r="M62" s="2"/>
      <c r="N62" s="2"/>
      <c r="O62" s="2"/>
      <c r="P62" s="2"/>
      <c r="Q62" s="2"/>
      <c r="R62" s="2"/>
      <c r="S62" s="2"/>
      <c r="T62" s="2"/>
      <c r="U62" s="2"/>
      <c r="V62" s="2"/>
      <c r="W62" s="2"/>
      <c r="X62" s="2"/>
      <c r="Y62" s="2"/>
      <c r="Z62" s="2"/>
    </row>
    <row r="63" ht="15.75" customHeight="1">
      <c r="A63" s="1"/>
      <c r="B63" s="1"/>
      <c r="C63" s="1"/>
      <c r="D63" s="1"/>
      <c r="E63" s="2"/>
      <c r="F63" s="2"/>
      <c r="G63" s="2"/>
      <c r="H63" s="2"/>
      <c r="I63" s="2"/>
      <c r="J63" s="2"/>
      <c r="K63" s="2"/>
      <c r="L63" s="2"/>
      <c r="M63" s="2"/>
      <c r="N63" s="2"/>
      <c r="O63" s="2"/>
      <c r="P63" s="2"/>
      <c r="Q63" s="2"/>
      <c r="R63" s="2"/>
      <c r="S63" s="2"/>
      <c r="T63" s="2"/>
      <c r="U63" s="2"/>
      <c r="V63" s="2"/>
      <c r="W63" s="2"/>
      <c r="X63" s="2"/>
      <c r="Y63" s="2"/>
      <c r="Z63" s="2"/>
    </row>
    <row r="64" ht="15.75" customHeight="1">
      <c r="A64" s="1"/>
      <c r="B64" s="1"/>
      <c r="C64" s="1"/>
      <c r="D64" s="1"/>
      <c r="E64" s="2"/>
      <c r="F64" s="2"/>
      <c r="G64" s="2"/>
      <c r="H64" s="2"/>
      <c r="I64" s="2"/>
      <c r="J64" s="2"/>
      <c r="K64" s="2"/>
      <c r="L64" s="2"/>
      <c r="M64" s="2"/>
      <c r="N64" s="2"/>
      <c r="O64" s="2"/>
      <c r="P64" s="2"/>
      <c r="Q64" s="2"/>
      <c r="R64" s="2"/>
      <c r="S64" s="2"/>
      <c r="T64" s="2"/>
      <c r="U64" s="2"/>
      <c r="V64" s="2"/>
      <c r="W64" s="2"/>
      <c r="X64" s="2"/>
      <c r="Y64" s="2"/>
      <c r="Z64" s="2"/>
    </row>
    <row r="65" ht="15.75" customHeight="1">
      <c r="A65" s="1"/>
      <c r="B65" s="1"/>
      <c r="C65" s="1"/>
      <c r="D65" s="1"/>
      <c r="E65" s="2"/>
      <c r="F65" s="2"/>
      <c r="G65" s="2"/>
      <c r="H65" s="2"/>
      <c r="I65" s="2"/>
      <c r="J65" s="2"/>
      <c r="K65" s="2"/>
      <c r="L65" s="2"/>
      <c r="M65" s="2"/>
      <c r="N65" s="2"/>
      <c r="O65" s="2"/>
      <c r="P65" s="2"/>
      <c r="Q65" s="2"/>
      <c r="R65" s="2"/>
      <c r="S65" s="2"/>
      <c r="T65" s="2"/>
      <c r="U65" s="2"/>
      <c r="V65" s="2"/>
      <c r="W65" s="2"/>
      <c r="X65" s="2"/>
      <c r="Y65" s="2"/>
      <c r="Z65" s="2"/>
    </row>
    <row r="66" ht="15.75" customHeight="1">
      <c r="A66" s="1"/>
      <c r="B66" s="1"/>
      <c r="C66" s="1"/>
      <c r="D66" s="1"/>
      <c r="E66" s="2"/>
      <c r="F66" s="2"/>
      <c r="G66" s="2"/>
      <c r="H66" s="2"/>
      <c r="I66" s="2"/>
      <c r="J66" s="2"/>
      <c r="K66" s="2"/>
      <c r="L66" s="2"/>
      <c r="M66" s="2"/>
      <c r="N66" s="2"/>
      <c r="O66" s="2"/>
      <c r="P66" s="2"/>
      <c r="Q66" s="2"/>
      <c r="R66" s="2"/>
      <c r="S66" s="2"/>
      <c r="T66" s="2"/>
      <c r="U66" s="2"/>
      <c r="V66" s="2"/>
      <c r="W66" s="2"/>
      <c r="X66" s="2"/>
      <c r="Y66" s="2"/>
      <c r="Z66" s="2"/>
    </row>
    <row r="67" ht="15.75" customHeight="1">
      <c r="A67" s="1"/>
      <c r="B67" s="1"/>
      <c r="C67" s="1"/>
      <c r="D67" s="1"/>
      <c r="E67" s="2"/>
      <c r="F67" s="2"/>
      <c r="G67" s="2"/>
      <c r="H67" s="2"/>
      <c r="I67" s="2"/>
      <c r="J67" s="2"/>
      <c r="K67" s="2"/>
      <c r="L67" s="2"/>
      <c r="M67" s="2"/>
      <c r="N67" s="2"/>
      <c r="O67" s="2"/>
      <c r="P67" s="2"/>
      <c r="Q67" s="2"/>
      <c r="R67" s="2"/>
      <c r="S67" s="2"/>
      <c r="T67" s="2"/>
      <c r="U67" s="2"/>
      <c r="V67" s="2"/>
      <c r="W67" s="2"/>
      <c r="X67" s="2"/>
      <c r="Y67" s="2"/>
      <c r="Z67" s="2"/>
    </row>
    <row r="68" ht="15.75" customHeight="1">
      <c r="A68" s="1"/>
      <c r="B68" s="1"/>
      <c r="C68" s="1"/>
      <c r="D68" s="1"/>
      <c r="E68" s="2"/>
      <c r="F68" s="2"/>
      <c r="G68" s="2"/>
      <c r="H68" s="2"/>
      <c r="I68" s="2"/>
      <c r="J68" s="2"/>
      <c r="K68" s="2"/>
      <c r="L68" s="2"/>
      <c r="M68" s="2"/>
      <c r="N68" s="2"/>
      <c r="O68" s="2"/>
      <c r="P68" s="2"/>
      <c r="Q68" s="2"/>
      <c r="R68" s="2"/>
      <c r="S68" s="2"/>
      <c r="T68" s="2"/>
      <c r="U68" s="2"/>
      <c r="V68" s="2"/>
      <c r="W68" s="2"/>
      <c r="X68" s="2"/>
      <c r="Y68" s="2"/>
      <c r="Z68" s="2"/>
    </row>
    <row r="69" ht="15.75" customHeight="1">
      <c r="A69" s="1"/>
      <c r="B69" s="1"/>
      <c r="C69" s="1"/>
      <c r="D69" s="1"/>
      <c r="E69" s="2"/>
      <c r="F69" s="2"/>
      <c r="G69" s="2"/>
      <c r="H69" s="2"/>
      <c r="I69" s="2"/>
      <c r="J69" s="2"/>
      <c r="K69" s="2"/>
      <c r="L69" s="2"/>
      <c r="M69" s="2"/>
      <c r="N69" s="2"/>
      <c r="O69" s="2"/>
      <c r="P69" s="2"/>
      <c r="Q69" s="2"/>
      <c r="R69" s="2"/>
      <c r="S69" s="2"/>
      <c r="T69" s="2"/>
      <c r="U69" s="2"/>
      <c r="V69" s="2"/>
      <c r="W69" s="2"/>
      <c r="X69" s="2"/>
      <c r="Y69" s="2"/>
      <c r="Z69" s="2"/>
    </row>
    <row r="70" ht="15.75" customHeight="1">
      <c r="A70" s="1"/>
      <c r="B70" s="1"/>
      <c r="C70" s="1"/>
      <c r="D70" s="1"/>
      <c r="E70" s="2"/>
      <c r="F70" s="2"/>
      <c r="G70" s="2"/>
      <c r="H70" s="2"/>
      <c r="I70" s="2"/>
      <c r="J70" s="2"/>
      <c r="K70" s="2"/>
      <c r="L70" s="2"/>
      <c r="M70" s="2"/>
      <c r="N70" s="2"/>
      <c r="O70" s="2"/>
      <c r="P70" s="2"/>
      <c r="Q70" s="2"/>
      <c r="R70" s="2"/>
      <c r="S70" s="2"/>
      <c r="T70" s="2"/>
      <c r="U70" s="2"/>
      <c r="V70" s="2"/>
      <c r="W70" s="2"/>
      <c r="X70" s="2"/>
      <c r="Y70" s="2"/>
      <c r="Z70" s="2"/>
    </row>
    <row r="71" ht="15.75" customHeight="1">
      <c r="A71" s="1"/>
      <c r="B71" s="1"/>
      <c r="C71" s="1"/>
      <c r="D71" s="1"/>
      <c r="E71" s="2"/>
      <c r="F71" s="2"/>
      <c r="G71" s="2"/>
      <c r="H71" s="2"/>
      <c r="I71" s="2"/>
      <c r="J71" s="2"/>
      <c r="K71" s="2"/>
      <c r="L71" s="2"/>
      <c r="M71" s="2"/>
      <c r="N71" s="2"/>
      <c r="O71" s="2"/>
      <c r="P71" s="2"/>
      <c r="Q71" s="2"/>
      <c r="R71" s="2"/>
      <c r="S71" s="2"/>
      <c r="T71" s="2"/>
      <c r="U71" s="2"/>
      <c r="V71" s="2"/>
      <c r="W71" s="2"/>
      <c r="X71" s="2"/>
      <c r="Y71" s="2"/>
      <c r="Z71" s="2"/>
    </row>
    <row r="72" ht="15.75" customHeight="1">
      <c r="A72" s="1"/>
      <c r="B72" s="1"/>
      <c r="C72" s="1"/>
      <c r="D72" s="1"/>
      <c r="E72" s="2"/>
      <c r="F72" s="2"/>
      <c r="G72" s="2"/>
      <c r="H72" s="2"/>
      <c r="I72" s="2"/>
      <c r="J72" s="2"/>
      <c r="K72" s="2"/>
      <c r="L72" s="2"/>
      <c r="M72" s="2"/>
      <c r="N72" s="2"/>
      <c r="O72" s="2"/>
      <c r="P72" s="2"/>
      <c r="Q72" s="2"/>
      <c r="R72" s="2"/>
      <c r="S72" s="2"/>
      <c r="T72" s="2"/>
      <c r="U72" s="2"/>
      <c r="V72" s="2"/>
      <c r="W72" s="2"/>
      <c r="X72" s="2"/>
      <c r="Y72" s="2"/>
      <c r="Z72" s="2"/>
    </row>
    <row r="73" ht="15.75" customHeight="1">
      <c r="A73" s="1"/>
      <c r="B73" s="1"/>
      <c r="C73" s="1"/>
      <c r="D73" s="1"/>
      <c r="E73" s="2"/>
      <c r="F73" s="2"/>
      <c r="G73" s="2"/>
      <c r="H73" s="2"/>
      <c r="I73" s="2"/>
      <c r="J73" s="2"/>
      <c r="K73" s="2"/>
      <c r="L73" s="2"/>
      <c r="M73" s="2"/>
      <c r="N73" s="2"/>
      <c r="O73" s="2"/>
      <c r="P73" s="2"/>
      <c r="Q73" s="2"/>
      <c r="R73" s="2"/>
      <c r="S73" s="2"/>
      <c r="T73" s="2"/>
      <c r="U73" s="2"/>
      <c r="V73" s="2"/>
      <c r="W73" s="2"/>
      <c r="X73" s="2"/>
      <c r="Y73" s="2"/>
      <c r="Z73" s="2"/>
    </row>
    <row r="74" ht="15.75" customHeight="1">
      <c r="A74" s="1"/>
      <c r="B74" s="1"/>
      <c r="C74" s="1"/>
      <c r="D74" s="1"/>
      <c r="E74" s="2"/>
      <c r="F74" s="2"/>
      <c r="G74" s="2"/>
      <c r="H74" s="2"/>
      <c r="I74" s="2"/>
      <c r="J74" s="2"/>
      <c r="K74" s="2"/>
      <c r="L74" s="2"/>
      <c r="M74" s="2"/>
      <c r="N74" s="2"/>
      <c r="O74" s="2"/>
      <c r="P74" s="2"/>
      <c r="Q74" s="2"/>
      <c r="R74" s="2"/>
      <c r="S74" s="2"/>
      <c r="T74" s="2"/>
      <c r="U74" s="2"/>
      <c r="V74" s="2"/>
      <c r="W74" s="2"/>
      <c r="X74" s="2"/>
      <c r="Y74" s="2"/>
      <c r="Z74" s="2"/>
    </row>
    <row r="75" ht="15.75" customHeight="1">
      <c r="A75" s="1"/>
      <c r="B75" s="1"/>
      <c r="C75" s="1"/>
      <c r="D75" s="1"/>
      <c r="E75" s="2"/>
      <c r="F75" s="2"/>
      <c r="G75" s="2"/>
      <c r="H75" s="2"/>
      <c r="I75" s="2"/>
      <c r="J75" s="2"/>
      <c r="K75" s="2"/>
      <c r="L75" s="2"/>
      <c r="M75" s="2"/>
      <c r="N75" s="2"/>
      <c r="O75" s="2"/>
      <c r="P75" s="2"/>
      <c r="Q75" s="2"/>
      <c r="R75" s="2"/>
      <c r="S75" s="2"/>
      <c r="T75" s="2"/>
      <c r="U75" s="2"/>
      <c r="V75" s="2"/>
      <c r="W75" s="2"/>
      <c r="X75" s="2"/>
      <c r="Y75" s="2"/>
      <c r="Z75" s="2"/>
    </row>
    <row r="76" ht="15.75" customHeight="1">
      <c r="A76" s="1"/>
      <c r="B76" s="1"/>
      <c r="C76" s="1"/>
      <c r="D76" s="1"/>
      <c r="E76" s="2"/>
      <c r="F76" s="2"/>
      <c r="G76" s="2"/>
      <c r="H76" s="2"/>
      <c r="I76" s="2"/>
      <c r="J76" s="2"/>
      <c r="K76" s="2"/>
      <c r="L76" s="2"/>
      <c r="M76" s="2"/>
      <c r="N76" s="2"/>
      <c r="O76" s="2"/>
      <c r="P76" s="2"/>
      <c r="Q76" s="2"/>
      <c r="R76" s="2"/>
      <c r="S76" s="2"/>
      <c r="T76" s="2"/>
      <c r="U76" s="2"/>
      <c r="V76" s="2"/>
      <c r="W76" s="2"/>
      <c r="X76" s="2"/>
      <c r="Y76" s="2"/>
      <c r="Z76" s="2"/>
    </row>
    <row r="77" ht="15.75" customHeight="1">
      <c r="A77" s="1"/>
      <c r="B77" s="1"/>
      <c r="C77" s="1"/>
      <c r="D77" s="1"/>
      <c r="E77" s="2"/>
      <c r="F77" s="2"/>
      <c r="G77" s="2"/>
      <c r="H77" s="2"/>
      <c r="I77" s="2"/>
      <c r="J77" s="2"/>
      <c r="K77" s="2"/>
      <c r="L77" s="2"/>
      <c r="M77" s="2"/>
      <c r="N77" s="2"/>
      <c r="O77" s="2"/>
      <c r="P77" s="2"/>
      <c r="Q77" s="2"/>
      <c r="R77" s="2"/>
      <c r="S77" s="2"/>
      <c r="T77" s="2"/>
      <c r="U77" s="2"/>
      <c r="V77" s="2"/>
      <c r="W77" s="2"/>
      <c r="X77" s="2"/>
      <c r="Y77" s="2"/>
      <c r="Z77" s="2"/>
    </row>
    <row r="78" ht="15.75" customHeight="1">
      <c r="A78" s="1"/>
      <c r="B78" s="1"/>
      <c r="C78" s="1"/>
      <c r="D78" s="1"/>
      <c r="E78" s="2"/>
      <c r="F78" s="2"/>
      <c r="G78" s="2"/>
      <c r="H78" s="2"/>
      <c r="I78" s="2"/>
      <c r="J78" s="2"/>
      <c r="K78" s="2"/>
      <c r="L78" s="2"/>
      <c r="M78" s="2"/>
      <c r="N78" s="2"/>
      <c r="O78" s="2"/>
      <c r="P78" s="2"/>
      <c r="Q78" s="2"/>
      <c r="R78" s="2"/>
      <c r="S78" s="2"/>
      <c r="T78" s="2"/>
      <c r="U78" s="2"/>
      <c r="V78" s="2"/>
      <c r="W78" s="2"/>
      <c r="X78" s="2"/>
      <c r="Y78" s="2"/>
      <c r="Z78" s="2"/>
    </row>
    <row r="79" ht="15.75" customHeight="1">
      <c r="A79" s="1"/>
      <c r="B79" s="1"/>
      <c r="C79" s="1"/>
      <c r="D79" s="1"/>
      <c r="E79" s="2"/>
      <c r="F79" s="2"/>
      <c r="G79" s="2"/>
      <c r="H79" s="2"/>
      <c r="I79" s="2"/>
      <c r="J79" s="2"/>
      <c r="K79" s="2"/>
      <c r="L79" s="2"/>
      <c r="M79" s="2"/>
      <c r="N79" s="2"/>
      <c r="O79" s="2"/>
      <c r="P79" s="2"/>
      <c r="Q79" s="2"/>
      <c r="R79" s="2"/>
      <c r="S79" s="2"/>
      <c r="T79" s="2"/>
      <c r="U79" s="2"/>
      <c r="V79" s="2"/>
      <c r="W79" s="2"/>
      <c r="X79" s="2"/>
      <c r="Y79" s="2"/>
      <c r="Z79" s="2"/>
    </row>
    <row r="80" ht="15.75" customHeight="1">
      <c r="A80" s="1"/>
      <c r="B80" s="1"/>
      <c r="C80" s="1"/>
      <c r="D80" s="1"/>
      <c r="E80" s="2"/>
      <c r="F80" s="2"/>
      <c r="G80" s="2"/>
      <c r="H80" s="2"/>
      <c r="I80" s="2"/>
      <c r="J80" s="2"/>
      <c r="K80" s="2"/>
      <c r="L80" s="2"/>
      <c r="M80" s="2"/>
      <c r="N80" s="2"/>
      <c r="O80" s="2"/>
      <c r="P80" s="2"/>
      <c r="Q80" s="2"/>
      <c r="R80" s="2"/>
      <c r="S80" s="2"/>
      <c r="T80" s="2"/>
      <c r="U80" s="2"/>
      <c r="V80" s="2"/>
      <c r="W80" s="2"/>
      <c r="X80" s="2"/>
      <c r="Y80" s="2"/>
      <c r="Z80" s="2"/>
    </row>
    <row r="81" ht="15.75" customHeight="1">
      <c r="A81" s="1"/>
      <c r="B81" s="1"/>
      <c r="C81" s="1"/>
      <c r="D81" s="1"/>
      <c r="E81" s="2"/>
      <c r="F81" s="2"/>
      <c r="G81" s="2"/>
      <c r="H81" s="2"/>
      <c r="I81" s="2"/>
      <c r="J81" s="2"/>
      <c r="K81" s="2"/>
      <c r="L81" s="2"/>
      <c r="M81" s="2"/>
      <c r="N81" s="2"/>
      <c r="O81" s="2"/>
      <c r="P81" s="2"/>
      <c r="Q81" s="2"/>
      <c r="R81" s="2"/>
      <c r="S81" s="2"/>
      <c r="T81" s="2"/>
      <c r="U81" s="2"/>
      <c r="V81" s="2"/>
      <c r="W81" s="2"/>
      <c r="X81" s="2"/>
      <c r="Y81" s="2"/>
      <c r="Z81" s="2"/>
    </row>
    <row r="82" ht="15.75" customHeight="1">
      <c r="A82" s="1"/>
      <c r="B82" s="1"/>
      <c r="C82" s="1"/>
      <c r="D82" s="1"/>
      <c r="E82" s="2"/>
      <c r="F82" s="2"/>
      <c r="G82" s="2"/>
      <c r="H82" s="2"/>
      <c r="I82" s="2"/>
      <c r="J82" s="2"/>
      <c r="K82" s="2"/>
      <c r="L82" s="2"/>
      <c r="M82" s="2"/>
      <c r="N82" s="2"/>
      <c r="O82" s="2"/>
      <c r="P82" s="2"/>
      <c r="Q82" s="2"/>
      <c r="R82" s="2"/>
      <c r="S82" s="2"/>
      <c r="T82" s="2"/>
      <c r="U82" s="2"/>
      <c r="V82" s="2"/>
      <c r="W82" s="2"/>
      <c r="X82" s="2"/>
      <c r="Y82" s="2"/>
      <c r="Z82" s="2"/>
    </row>
    <row r="83" ht="15.75" customHeight="1">
      <c r="A83" s="1"/>
      <c r="B83" s="1"/>
      <c r="C83" s="1"/>
      <c r="D83" s="1"/>
      <c r="E83" s="2"/>
      <c r="F83" s="2"/>
      <c r="G83" s="2"/>
      <c r="H83" s="2"/>
      <c r="I83" s="2"/>
      <c r="J83" s="2"/>
      <c r="K83" s="2"/>
      <c r="L83" s="2"/>
      <c r="M83" s="2"/>
      <c r="N83" s="2"/>
      <c r="O83" s="2"/>
      <c r="P83" s="2"/>
      <c r="Q83" s="2"/>
      <c r="R83" s="2"/>
      <c r="S83" s="2"/>
      <c r="T83" s="2"/>
      <c r="U83" s="2"/>
      <c r="V83" s="2"/>
      <c r="W83" s="2"/>
      <c r="X83" s="2"/>
      <c r="Y83" s="2"/>
      <c r="Z83" s="2"/>
    </row>
    <row r="84" ht="15.75" customHeight="1">
      <c r="A84" s="1"/>
      <c r="B84" s="1"/>
      <c r="C84" s="1"/>
      <c r="D84" s="1"/>
      <c r="E84" s="2"/>
      <c r="F84" s="2"/>
      <c r="G84" s="2"/>
      <c r="H84" s="2"/>
      <c r="I84" s="2"/>
      <c r="J84" s="2"/>
      <c r="K84" s="2"/>
      <c r="L84" s="2"/>
      <c r="M84" s="2"/>
      <c r="N84" s="2"/>
      <c r="O84" s="2"/>
      <c r="P84" s="2"/>
      <c r="Q84" s="2"/>
      <c r="R84" s="2"/>
      <c r="S84" s="2"/>
      <c r="T84" s="2"/>
      <c r="U84" s="2"/>
      <c r="V84" s="2"/>
      <c r="W84" s="2"/>
      <c r="X84" s="2"/>
      <c r="Y84" s="2"/>
      <c r="Z84" s="2"/>
    </row>
    <row r="85" ht="15.75" customHeight="1">
      <c r="A85" s="1"/>
      <c r="B85" s="1"/>
      <c r="C85" s="1"/>
      <c r="D85" s="1"/>
      <c r="E85" s="2"/>
      <c r="F85" s="2"/>
      <c r="G85" s="2"/>
      <c r="H85" s="2"/>
      <c r="I85" s="2"/>
      <c r="J85" s="2"/>
      <c r="K85" s="2"/>
      <c r="L85" s="2"/>
      <c r="M85" s="2"/>
      <c r="N85" s="2"/>
      <c r="O85" s="2"/>
      <c r="P85" s="2"/>
      <c r="Q85" s="2"/>
      <c r="R85" s="2"/>
      <c r="S85" s="2"/>
      <c r="T85" s="2"/>
      <c r="U85" s="2"/>
      <c r="V85" s="2"/>
      <c r="W85" s="2"/>
      <c r="X85" s="2"/>
      <c r="Y85" s="2"/>
      <c r="Z85" s="2"/>
    </row>
    <row r="86" ht="15.75" customHeight="1">
      <c r="A86" s="1"/>
      <c r="B86" s="1"/>
      <c r="C86" s="1"/>
      <c r="D86" s="1"/>
      <c r="E86" s="2"/>
      <c r="F86" s="2"/>
      <c r="G86" s="2"/>
      <c r="H86" s="2"/>
      <c r="I86" s="2"/>
      <c r="J86" s="2"/>
      <c r="K86" s="2"/>
      <c r="L86" s="2"/>
      <c r="M86" s="2"/>
      <c r="N86" s="2"/>
      <c r="O86" s="2"/>
      <c r="P86" s="2"/>
      <c r="Q86" s="2"/>
      <c r="R86" s="2"/>
      <c r="S86" s="2"/>
      <c r="T86" s="2"/>
      <c r="U86" s="2"/>
      <c r="V86" s="2"/>
      <c r="W86" s="2"/>
      <c r="X86" s="2"/>
      <c r="Y86" s="2"/>
      <c r="Z86" s="2"/>
    </row>
    <row r="87" ht="15.75" customHeight="1">
      <c r="A87" s="1"/>
      <c r="B87" s="1"/>
      <c r="C87" s="1"/>
      <c r="D87" s="1"/>
      <c r="E87" s="2"/>
      <c r="F87" s="2"/>
      <c r="G87" s="2"/>
      <c r="H87" s="2"/>
      <c r="I87" s="2"/>
      <c r="J87" s="2"/>
      <c r="K87" s="2"/>
      <c r="L87" s="2"/>
      <c r="M87" s="2"/>
      <c r="N87" s="2"/>
      <c r="O87" s="2"/>
      <c r="P87" s="2"/>
      <c r="Q87" s="2"/>
      <c r="R87" s="2"/>
      <c r="S87" s="2"/>
      <c r="T87" s="2"/>
      <c r="U87" s="2"/>
      <c r="V87" s="2"/>
      <c r="W87" s="2"/>
      <c r="X87" s="2"/>
      <c r="Y87" s="2"/>
      <c r="Z87" s="2"/>
    </row>
    <row r="88" ht="15.75" customHeight="1">
      <c r="A88" s="1"/>
      <c r="B88" s="1"/>
      <c r="C88" s="1"/>
      <c r="D88" s="1"/>
      <c r="E88" s="2"/>
      <c r="F88" s="2"/>
      <c r="G88" s="2"/>
      <c r="H88" s="2"/>
      <c r="I88" s="2"/>
      <c r="J88" s="2"/>
      <c r="K88" s="2"/>
      <c r="L88" s="2"/>
      <c r="M88" s="2"/>
      <c r="N88" s="2"/>
      <c r="O88" s="2"/>
      <c r="P88" s="2"/>
      <c r="Q88" s="2"/>
      <c r="R88" s="2"/>
      <c r="S88" s="2"/>
      <c r="T88" s="2"/>
      <c r="U88" s="2"/>
      <c r="V88" s="2"/>
      <c r="W88" s="2"/>
      <c r="X88" s="2"/>
      <c r="Y88" s="2"/>
      <c r="Z88" s="2"/>
    </row>
    <row r="89" ht="15.75" customHeight="1">
      <c r="A89" s="1"/>
      <c r="B89" s="1"/>
      <c r="C89" s="1"/>
      <c r="D89" s="1"/>
      <c r="E89" s="2"/>
      <c r="F89" s="2"/>
      <c r="G89" s="2"/>
      <c r="H89" s="2"/>
      <c r="I89" s="2"/>
      <c r="J89" s="2"/>
      <c r="K89" s="2"/>
      <c r="L89" s="2"/>
      <c r="M89" s="2"/>
      <c r="N89" s="2"/>
      <c r="O89" s="2"/>
      <c r="P89" s="2"/>
      <c r="Q89" s="2"/>
      <c r="R89" s="2"/>
      <c r="S89" s="2"/>
      <c r="T89" s="2"/>
      <c r="U89" s="2"/>
      <c r="V89" s="2"/>
      <c r="W89" s="2"/>
      <c r="X89" s="2"/>
      <c r="Y89" s="2"/>
      <c r="Z89" s="2"/>
    </row>
    <row r="90" ht="15.75" customHeight="1">
      <c r="A90" s="1"/>
      <c r="B90" s="1"/>
      <c r="C90" s="1"/>
      <c r="D90" s="1"/>
      <c r="E90" s="2"/>
      <c r="F90" s="2"/>
      <c r="G90" s="2"/>
      <c r="H90" s="2"/>
      <c r="I90" s="2"/>
      <c r="J90" s="2"/>
      <c r="K90" s="2"/>
      <c r="L90" s="2"/>
      <c r="M90" s="2"/>
      <c r="N90" s="2"/>
      <c r="O90" s="2"/>
      <c r="P90" s="2"/>
      <c r="Q90" s="2"/>
      <c r="R90" s="2"/>
      <c r="S90" s="2"/>
      <c r="T90" s="2"/>
      <c r="U90" s="2"/>
      <c r="V90" s="2"/>
      <c r="W90" s="2"/>
      <c r="X90" s="2"/>
      <c r="Y90" s="2"/>
      <c r="Z90" s="2"/>
    </row>
    <row r="91" ht="15.75" customHeight="1">
      <c r="A91" s="1"/>
      <c r="B91" s="1"/>
      <c r="C91" s="1"/>
      <c r="D91" s="1"/>
      <c r="E91" s="2"/>
      <c r="F91" s="2"/>
      <c r="G91" s="2"/>
      <c r="H91" s="2"/>
      <c r="I91" s="2"/>
      <c r="J91" s="2"/>
      <c r="K91" s="2"/>
      <c r="L91" s="2"/>
      <c r="M91" s="2"/>
      <c r="N91" s="2"/>
      <c r="O91" s="2"/>
      <c r="P91" s="2"/>
      <c r="Q91" s="2"/>
      <c r="R91" s="2"/>
      <c r="S91" s="2"/>
      <c r="T91" s="2"/>
      <c r="U91" s="2"/>
      <c r="V91" s="2"/>
      <c r="W91" s="2"/>
      <c r="X91" s="2"/>
      <c r="Y91" s="2"/>
      <c r="Z91" s="2"/>
    </row>
    <row r="92" ht="15.75" customHeight="1">
      <c r="A92" s="1"/>
      <c r="B92" s="1"/>
      <c r="C92" s="1"/>
      <c r="D92" s="1"/>
      <c r="E92" s="2"/>
      <c r="F92" s="2"/>
      <c r="G92" s="2"/>
      <c r="H92" s="2"/>
      <c r="I92" s="2"/>
      <c r="J92" s="2"/>
      <c r="K92" s="2"/>
      <c r="L92" s="2"/>
      <c r="M92" s="2"/>
      <c r="N92" s="2"/>
      <c r="O92" s="2"/>
      <c r="P92" s="2"/>
      <c r="Q92" s="2"/>
      <c r="R92" s="2"/>
      <c r="S92" s="2"/>
      <c r="T92" s="2"/>
      <c r="U92" s="2"/>
      <c r="V92" s="2"/>
      <c r="W92" s="2"/>
      <c r="X92" s="2"/>
      <c r="Y92" s="2"/>
      <c r="Z92" s="2"/>
    </row>
    <row r="93" ht="15.75" customHeight="1">
      <c r="A93" s="1"/>
      <c r="B93" s="1"/>
      <c r="C93" s="1"/>
      <c r="D93" s="1"/>
      <c r="E93" s="2"/>
      <c r="F93" s="2"/>
      <c r="G93" s="2"/>
      <c r="H93" s="2"/>
      <c r="I93" s="2"/>
      <c r="J93" s="2"/>
      <c r="K93" s="2"/>
      <c r="L93" s="2"/>
      <c r="M93" s="2"/>
      <c r="N93" s="2"/>
      <c r="O93" s="2"/>
      <c r="P93" s="2"/>
      <c r="Q93" s="2"/>
      <c r="R93" s="2"/>
      <c r="S93" s="2"/>
      <c r="T93" s="2"/>
      <c r="U93" s="2"/>
      <c r="V93" s="2"/>
      <c r="W93" s="2"/>
      <c r="X93" s="2"/>
      <c r="Y93" s="2"/>
      <c r="Z93" s="2"/>
    </row>
    <row r="94" ht="15.75" customHeight="1">
      <c r="A94" s="1"/>
      <c r="B94" s="1"/>
      <c r="C94" s="1"/>
      <c r="D94" s="1"/>
      <c r="E94" s="2"/>
      <c r="F94" s="2"/>
      <c r="G94" s="2"/>
      <c r="H94" s="2"/>
      <c r="I94" s="2"/>
      <c r="J94" s="2"/>
      <c r="K94" s="2"/>
      <c r="L94" s="2"/>
      <c r="M94" s="2"/>
      <c r="N94" s="2"/>
      <c r="O94" s="2"/>
      <c r="P94" s="2"/>
      <c r="Q94" s="2"/>
      <c r="R94" s="2"/>
      <c r="S94" s="2"/>
      <c r="T94" s="2"/>
      <c r="U94" s="2"/>
      <c r="V94" s="2"/>
      <c r="W94" s="2"/>
      <c r="X94" s="2"/>
      <c r="Y94" s="2"/>
      <c r="Z94" s="2"/>
    </row>
    <row r="95" ht="15.75" customHeight="1">
      <c r="A95" s="1"/>
      <c r="B95" s="1"/>
      <c r="C95" s="1"/>
      <c r="D95" s="1"/>
      <c r="E95" s="2"/>
      <c r="F95" s="2"/>
      <c r="G95" s="2"/>
      <c r="H95" s="2"/>
      <c r="I95" s="2"/>
      <c r="J95" s="2"/>
      <c r="K95" s="2"/>
      <c r="L95" s="2"/>
      <c r="M95" s="2"/>
      <c r="N95" s="2"/>
      <c r="O95" s="2"/>
      <c r="P95" s="2"/>
      <c r="Q95" s="2"/>
      <c r="R95" s="2"/>
      <c r="S95" s="2"/>
      <c r="T95" s="2"/>
      <c r="U95" s="2"/>
      <c r="V95" s="2"/>
      <c r="W95" s="2"/>
      <c r="X95" s="2"/>
      <c r="Y95" s="2"/>
      <c r="Z95" s="2"/>
    </row>
    <row r="96" ht="15.75" customHeight="1">
      <c r="A96" s="1"/>
      <c r="B96" s="1"/>
      <c r="C96" s="1"/>
      <c r="D96" s="1"/>
      <c r="E96" s="2"/>
      <c r="F96" s="2"/>
      <c r="G96" s="2"/>
      <c r="H96" s="2"/>
      <c r="I96" s="2"/>
      <c r="J96" s="2"/>
      <c r="K96" s="2"/>
      <c r="L96" s="2"/>
      <c r="M96" s="2"/>
      <c r="N96" s="2"/>
      <c r="O96" s="2"/>
      <c r="P96" s="2"/>
      <c r="Q96" s="2"/>
      <c r="R96" s="2"/>
      <c r="S96" s="2"/>
      <c r="T96" s="2"/>
      <c r="U96" s="2"/>
      <c r="V96" s="2"/>
      <c r="W96" s="2"/>
      <c r="X96" s="2"/>
      <c r="Y96" s="2"/>
      <c r="Z96" s="2"/>
    </row>
    <row r="97" ht="15.75" customHeight="1">
      <c r="A97" s="1"/>
      <c r="B97" s="1"/>
      <c r="C97" s="1"/>
      <c r="D97" s="1"/>
      <c r="E97" s="2"/>
      <c r="F97" s="2"/>
      <c r="G97" s="2"/>
      <c r="H97" s="2"/>
      <c r="I97" s="2"/>
      <c r="J97" s="2"/>
      <c r="K97" s="2"/>
      <c r="L97" s="2"/>
      <c r="M97" s="2"/>
      <c r="N97" s="2"/>
      <c r="O97" s="2"/>
      <c r="P97" s="2"/>
      <c r="Q97" s="2"/>
      <c r="R97" s="2"/>
      <c r="S97" s="2"/>
      <c r="T97" s="2"/>
      <c r="U97" s="2"/>
      <c r="V97" s="2"/>
      <c r="W97" s="2"/>
      <c r="X97" s="2"/>
      <c r="Y97" s="2"/>
      <c r="Z97" s="2"/>
    </row>
    <row r="98" ht="15.75" customHeight="1">
      <c r="A98" s="1"/>
      <c r="B98" s="1"/>
      <c r="C98" s="1"/>
      <c r="D98" s="1"/>
      <c r="E98" s="2"/>
      <c r="F98" s="2"/>
      <c r="G98" s="2"/>
      <c r="H98" s="2"/>
      <c r="I98" s="2"/>
      <c r="J98" s="2"/>
      <c r="K98" s="2"/>
      <c r="L98" s="2"/>
      <c r="M98" s="2"/>
      <c r="N98" s="2"/>
      <c r="O98" s="2"/>
      <c r="P98" s="2"/>
      <c r="Q98" s="2"/>
      <c r="R98" s="2"/>
      <c r="S98" s="2"/>
      <c r="T98" s="2"/>
      <c r="U98" s="2"/>
      <c r="V98" s="2"/>
      <c r="W98" s="2"/>
      <c r="X98" s="2"/>
      <c r="Y98" s="2"/>
      <c r="Z98" s="2"/>
    </row>
    <row r="99" ht="15.75" customHeight="1">
      <c r="A99" s="1"/>
      <c r="B99" s="1"/>
      <c r="C99" s="1"/>
      <c r="D99" s="1"/>
      <c r="E99" s="2"/>
      <c r="F99" s="2"/>
      <c r="G99" s="2"/>
      <c r="H99" s="2"/>
      <c r="I99" s="2"/>
      <c r="J99" s="2"/>
      <c r="K99" s="2"/>
      <c r="L99" s="2"/>
      <c r="M99" s="2"/>
      <c r="N99" s="2"/>
      <c r="O99" s="2"/>
      <c r="P99" s="2"/>
      <c r="Q99" s="2"/>
      <c r="R99" s="2"/>
      <c r="S99" s="2"/>
      <c r="T99" s="2"/>
      <c r="U99" s="2"/>
      <c r="V99" s="2"/>
      <c r="W99" s="2"/>
      <c r="X99" s="2"/>
      <c r="Y99" s="2"/>
      <c r="Z99" s="2"/>
    </row>
    <row r="100" ht="15.75" customHeight="1">
      <c r="A100" s="1"/>
      <c r="B100" s="1"/>
      <c r="C100" s="1"/>
      <c r="D100" s="1"/>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1"/>
      <c r="B101" s="1"/>
      <c r="C101" s="1"/>
      <c r="D101" s="1"/>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1"/>
      <c r="B102" s="1"/>
      <c r="C102" s="1"/>
      <c r="D102" s="1"/>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1"/>
      <c r="B103" s="1"/>
      <c r="C103" s="1"/>
      <c r="D103" s="1"/>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1"/>
      <c r="B104" s="1"/>
      <c r="C104" s="1"/>
      <c r="D104" s="1"/>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1"/>
      <c r="B105" s="1"/>
      <c r="C105" s="1"/>
      <c r="D105" s="1"/>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1"/>
      <c r="B106" s="1"/>
      <c r="C106" s="1"/>
      <c r="D106" s="1"/>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1"/>
      <c r="B107" s="1"/>
      <c r="C107" s="1"/>
      <c r="D107" s="1"/>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1"/>
      <c r="B108" s="1"/>
      <c r="C108" s="1"/>
      <c r="D108" s="1"/>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1"/>
      <c r="B109" s="1"/>
      <c r="C109" s="1"/>
      <c r="D109" s="1"/>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1"/>
      <c r="B110" s="1"/>
      <c r="C110" s="1"/>
      <c r="D110" s="1"/>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1"/>
      <c r="B111" s="1"/>
      <c r="C111" s="1"/>
      <c r="D111" s="1"/>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1"/>
      <c r="B112" s="1"/>
      <c r="C112" s="1"/>
      <c r="D112" s="1"/>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1"/>
      <c r="B113" s="1"/>
      <c r="C113" s="1"/>
      <c r="D113" s="1"/>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1"/>
      <c r="B114" s="1"/>
      <c r="C114" s="1"/>
      <c r="D114" s="1"/>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1"/>
      <c r="B115" s="1"/>
      <c r="C115" s="1"/>
      <c r="D115" s="1"/>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1"/>
      <c r="B116" s="1"/>
      <c r="C116" s="1"/>
      <c r="D116" s="1"/>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1"/>
      <c r="B117" s="1"/>
      <c r="C117" s="1"/>
      <c r="D117" s="1"/>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1"/>
      <c r="B118" s="1"/>
      <c r="C118" s="1"/>
      <c r="D118" s="1"/>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1"/>
      <c r="B119" s="1"/>
      <c r="C119" s="1"/>
      <c r="D119" s="1"/>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1"/>
      <c r="B120" s="1"/>
      <c r="C120" s="1"/>
      <c r="D120" s="1"/>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1"/>
      <c r="B121" s="1"/>
      <c r="C121" s="1"/>
      <c r="D121" s="1"/>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1"/>
      <c r="B122" s="1"/>
      <c r="C122" s="1"/>
      <c r="D122" s="1"/>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1"/>
      <c r="B123" s="1"/>
      <c r="C123" s="1"/>
      <c r="D123" s="1"/>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1"/>
      <c r="B124" s="1"/>
      <c r="C124" s="1"/>
      <c r="D124" s="1"/>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1"/>
      <c r="B125" s="1"/>
      <c r="C125" s="1"/>
      <c r="D125" s="1"/>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1"/>
      <c r="B126" s="1"/>
      <c r="C126" s="1"/>
      <c r="D126" s="1"/>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1"/>
      <c r="B127" s="1"/>
      <c r="C127" s="1"/>
      <c r="D127" s="1"/>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1"/>
      <c r="B128" s="1"/>
      <c r="C128" s="1"/>
      <c r="D128" s="1"/>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1"/>
      <c r="B129" s="1"/>
      <c r="C129" s="1"/>
      <c r="D129" s="1"/>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1"/>
      <c r="B130" s="1"/>
      <c r="C130" s="1"/>
      <c r="D130" s="1"/>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1"/>
      <c r="B131" s="1"/>
      <c r="C131" s="1"/>
      <c r="D131" s="1"/>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1"/>
      <c r="B132" s="1"/>
      <c r="C132" s="1"/>
      <c r="D132" s="1"/>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1"/>
      <c r="B133" s="1"/>
      <c r="C133" s="1"/>
      <c r="D133" s="1"/>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1"/>
      <c r="B134" s="1"/>
      <c r="C134" s="1"/>
      <c r="D134" s="1"/>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1"/>
      <c r="B135" s="1"/>
      <c r="C135" s="1"/>
      <c r="D135" s="1"/>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1"/>
      <c r="B136" s="1"/>
      <c r="C136" s="1"/>
      <c r="D136" s="1"/>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1"/>
      <c r="B137" s="1"/>
      <c r="C137" s="1"/>
      <c r="D137" s="1"/>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1"/>
      <c r="B138" s="1"/>
      <c r="C138" s="1"/>
      <c r="D138" s="1"/>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1"/>
      <c r="B139" s="1"/>
      <c r="C139" s="1"/>
      <c r="D139" s="1"/>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1"/>
      <c r="B140" s="1"/>
      <c r="C140" s="1"/>
      <c r="D140" s="1"/>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1"/>
      <c r="B141" s="1"/>
      <c r="C141" s="1"/>
      <c r="D141" s="1"/>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1"/>
      <c r="B142" s="1"/>
      <c r="C142" s="1"/>
      <c r="D142" s="1"/>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1"/>
      <c r="B143" s="1"/>
      <c r="C143" s="1"/>
      <c r="D143" s="1"/>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1"/>
      <c r="B144" s="1"/>
      <c r="C144" s="1"/>
      <c r="D144" s="1"/>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1"/>
      <c r="B145" s="1"/>
      <c r="C145" s="1"/>
      <c r="D145" s="1"/>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1"/>
      <c r="B146" s="1"/>
      <c r="C146" s="1"/>
      <c r="D146" s="1"/>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1"/>
      <c r="B147" s="1"/>
      <c r="C147" s="1"/>
      <c r="D147" s="1"/>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1"/>
      <c r="B148" s="1"/>
      <c r="C148" s="1"/>
      <c r="D148" s="1"/>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1"/>
      <c r="B149" s="1"/>
      <c r="C149" s="1"/>
      <c r="D149" s="1"/>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1"/>
      <c r="B150" s="1"/>
      <c r="C150" s="1"/>
      <c r="D150" s="1"/>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1"/>
      <c r="B151" s="1"/>
      <c r="C151" s="1"/>
      <c r="D151" s="1"/>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1"/>
      <c r="B152" s="1"/>
      <c r="C152" s="1"/>
      <c r="D152" s="1"/>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1"/>
      <c r="B153" s="1"/>
      <c r="C153" s="1"/>
      <c r="D153" s="1"/>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1"/>
      <c r="B154" s="1"/>
      <c r="C154" s="1"/>
      <c r="D154" s="1"/>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1"/>
      <c r="B155" s="1"/>
      <c r="C155" s="1"/>
      <c r="D155" s="1"/>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1"/>
      <c r="B156" s="1"/>
      <c r="C156" s="1"/>
      <c r="D156" s="1"/>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1"/>
      <c r="B157" s="1"/>
      <c r="C157" s="1"/>
      <c r="D157" s="1"/>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1"/>
      <c r="B158" s="1"/>
      <c r="C158" s="1"/>
      <c r="D158" s="1"/>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1"/>
      <c r="B159" s="1"/>
      <c r="C159" s="1"/>
      <c r="D159" s="1"/>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1"/>
      <c r="B160" s="1"/>
      <c r="C160" s="1"/>
      <c r="D160" s="1"/>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1"/>
      <c r="B161" s="1"/>
      <c r="C161" s="1"/>
      <c r="D161" s="1"/>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1"/>
      <c r="B162" s="1"/>
      <c r="C162" s="1"/>
      <c r="D162" s="1"/>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1"/>
      <c r="B163" s="1"/>
      <c r="C163" s="1"/>
      <c r="D163" s="1"/>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1"/>
      <c r="B164" s="1"/>
      <c r="C164" s="1"/>
      <c r="D164" s="1"/>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1"/>
      <c r="B165" s="1"/>
      <c r="C165" s="1"/>
      <c r="D165" s="1"/>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1"/>
      <c r="B166" s="1"/>
      <c r="C166" s="1"/>
      <c r="D166" s="1"/>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1"/>
      <c r="B167" s="1"/>
      <c r="C167" s="1"/>
      <c r="D167" s="1"/>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1"/>
      <c r="B168" s="1"/>
      <c r="C168" s="1"/>
      <c r="D168" s="1"/>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1"/>
      <c r="B169" s="1"/>
      <c r="C169" s="1"/>
      <c r="D169" s="1"/>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1"/>
      <c r="B170" s="1"/>
      <c r="C170" s="1"/>
      <c r="D170" s="1"/>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1"/>
      <c r="B171" s="1"/>
      <c r="C171" s="1"/>
      <c r="D171" s="1"/>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1"/>
      <c r="B172" s="1"/>
      <c r="C172" s="1"/>
      <c r="D172" s="1"/>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1"/>
      <c r="B173" s="1"/>
      <c r="C173" s="1"/>
      <c r="D173" s="1"/>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1"/>
      <c r="B174" s="1"/>
      <c r="C174" s="1"/>
      <c r="D174" s="1"/>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1"/>
      <c r="B175" s="1"/>
      <c r="C175" s="1"/>
      <c r="D175" s="1"/>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1"/>
      <c r="B176" s="1"/>
      <c r="C176" s="1"/>
      <c r="D176" s="1"/>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1"/>
      <c r="B177" s="1"/>
      <c r="C177" s="1"/>
      <c r="D177" s="1"/>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1"/>
      <c r="B178" s="1"/>
      <c r="C178" s="1"/>
      <c r="D178" s="1"/>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1"/>
      <c r="B179" s="1"/>
      <c r="C179" s="1"/>
      <c r="D179" s="1"/>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1"/>
      <c r="B180" s="1"/>
      <c r="C180" s="1"/>
      <c r="D180" s="1"/>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1"/>
      <c r="B181" s="1"/>
      <c r="C181" s="1"/>
      <c r="D181" s="1"/>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1"/>
      <c r="B182" s="1"/>
      <c r="C182" s="1"/>
      <c r="D182" s="1"/>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1"/>
      <c r="B183" s="1"/>
      <c r="C183" s="1"/>
      <c r="D183" s="1"/>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1"/>
      <c r="B184" s="1"/>
      <c r="C184" s="1"/>
      <c r="D184" s="1"/>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1"/>
      <c r="B185" s="1"/>
      <c r="C185" s="1"/>
      <c r="D185" s="1"/>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1"/>
      <c r="B186" s="1"/>
      <c r="C186" s="1"/>
      <c r="D186" s="1"/>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1"/>
      <c r="B187" s="1"/>
      <c r="C187" s="1"/>
      <c r="D187" s="1"/>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1"/>
      <c r="B188" s="1"/>
      <c r="C188" s="1"/>
      <c r="D188" s="1"/>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1"/>
      <c r="B189" s="1"/>
      <c r="C189" s="1"/>
      <c r="D189" s="1"/>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1"/>
      <c r="B190" s="1"/>
      <c r="C190" s="1"/>
      <c r="D190" s="1"/>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1"/>
      <c r="B191" s="1"/>
      <c r="C191" s="1"/>
      <c r="D191" s="1"/>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1"/>
      <c r="B192" s="1"/>
      <c r="C192" s="1"/>
      <c r="D192" s="1"/>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1"/>
      <c r="B193" s="1"/>
      <c r="C193" s="1"/>
      <c r="D193" s="1"/>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1"/>
      <c r="B194" s="1"/>
      <c r="C194" s="1"/>
      <c r="D194" s="1"/>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1"/>
      <c r="B195" s="1"/>
      <c r="C195" s="1"/>
      <c r="D195" s="1"/>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1"/>
      <c r="B196" s="1"/>
      <c r="C196" s="1"/>
      <c r="D196" s="1"/>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1"/>
      <c r="B197" s="1"/>
      <c r="C197" s="1"/>
      <c r="D197" s="1"/>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1"/>
      <c r="B198" s="1"/>
      <c r="C198" s="1"/>
      <c r="D198" s="1"/>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1"/>
      <c r="B199" s="1"/>
      <c r="C199" s="1"/>
      <c r="D199" s="1"/>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1"/>
      <c r="B200" s="1"/>
      <c r="C200" s="1"/>
      <c r="D200" s="1"/>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1"/>
      <c r="B201" s="1"/>
      <c r="C201" s="1"/>
      <c r="D201" s="1"/>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1"/>
      <c r="B202" s="1"/>
      <c r="C202" s="1"/>
      <c r="D202" s="1"/>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1"/>
      <c r="B203" s="1"/>
      <c r="C203" s="1"/>
      <c r="D203" s="1"/>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1"/>
      <c r="B204" s="1"/>
      <c r="C204" s="1"/>
      <c r="D204" s="1"/>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1"/>
      <c r="B205" s="1"/>
      <c r="C205" s="1"/>
      <c r="D205" s="1"/>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1"/>
      <c r="B206" s="1"/>
      <c r="C206" s="1"/>
      <c r="D206" s="1"/>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1"/>
      <c r="B207" s="1"/>
      <c r="C207" s="1"/>
      <c r="D207" s="1"/>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1"/>
      <c r="B208" s="1"/>
      <c r="C208" s="1"/>
      <c r="D208" s="1"/>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1"/>
      <c r="B209" s="1"/>
      <c r="C209" s="1"/>
      <c r="D209" s="1"/>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1"/>
      <c r="B210" s="1"/>
      <c r="C210" s="1"/>
      <c r="D210" s="1"/>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1"/>
      <c r="B211" s="1"/>
      <c r="C211" s="1"/>
      <c r="D211" s="1"/>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1"/>
      <c r="B212" s="1"/>
      <c r="C212" s="1"/>
      <c r="D212" s="1"/>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1"/>
      <c r="B213" s="1"/>
      <c r="C213" s="1"/>
      <c r="D213" s="1"/>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1"/>
      <c r="B214" s="1"/>
      <c r="C214" s="1"/>
      <c r="D214" s="1"/>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1"/>
      <c r="B215" s="1"/>
      <c r="C215" s="1"/>
      <c r="D215" s="1"/>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1"/>
      <c r="B216" s="1"/>
      <c r="C216" s="1"/>
      <c r="D216" s="1"/>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1"/>
      <c r="B217" s="1"/>
      <c r="C217" s="1"/>
      <c r="D217" s="1"/>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1"/>
      <c r="B218" s="1"/>
      <c r="C218" s="1"/>
      <c r="D218" s="1"/>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1"/>
      <c r="B219" s="1"/>
      <c r="C219" s="1"/>
      <c r="D219" s="1"/>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1"/>
      <c r="B220" s="1"/>
      <c r="C220" s="1"/>
      <c r="D220" s="1"/>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1"/>
      <c r="B221" s="1"/>
      <c r="C221" s="1"/>
      <c r="D221" s="1"/>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1"/>
      <c r="B222" s="1"/>
      <c r="C222" s="1"/>
      <c r="D222" s="1"/>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1"/>
      <c r="B223" s="1"/>
      <c r="C223" s="1"/>
      <c r="D223" s="1"/>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1"/>
      <c r="B224" s="1"/>
      <c r="C224" s="1"/>
      <c r="D224" s="1"/>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1"/>
      <c r="B225" s="1"/>
      <c r="C225" s="1"/>
      <c r="D225" s="1"/>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1"/>
      <c r="B226" s="1"/>
      <c r="C226" s="1"/>
      <c r="D226" s="1"/>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1"/>
      <c r="B227" s="1"/>
      <c r="C227" s="1"/>
      <c r="D227" s="1"/>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1"/>
      <c r="B228" s="1"/>
      <c r="C228" s="1"/>
      <c r="D228" s="1"/>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1"/>
      <c r="B229" s="1"/>
      <c r="C229" s="1"/>
      <c r="D229" s="1"/>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1"/>
      <c r="B230" s="1"/>
      <c r="C230" s="1"/>
      <c r="D230" s="1"/>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1"/>
      <c r="B231" s="1"/>
      <c r="C231" s="1"/>
      <c r="D231" s="1"/>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1"/>
      <c r="B232" s="1"/>
      <c r="C232" s="1"/>
      <c r="D232" s="1"/>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8">
    <mergeCell ref="B2:D2"/>
    <mergeCell ref="B10:D11"/>
    <mergeCell ref="B13:D13"/>
    <mergeCell ref="B28:D28"/>
    <mergeCell ref="C29:D29"/>
    <mergeCell ref="C30:D30"/>
    <mergeCell ref="C31:D31"/>
    <mergeCell ref="C32:D32"/>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6.57"/>
    <col customWidth="1" min="3" max="3" width="41.14"/>
    <col customWidth="1" min="4" max="4" width="42.86"/>
    <col customWidth="1" min="5" max="6" width="8.71"/>
  </cols>
  <sheetData>
    <row r="1">
      <c r="A1" s="1"/>
      <c r="B1" s="1"/>
      <c r="C1" s="1"/>
      <c r="D1" s="1"/>
      <c r="E1" s="2"/>
      <c r="F1" s="2"/>
      <c r="G1" s="2"/>
      <c r="H1" s="2"/>
      <c r="I1" s="2"/>
      <c r="J1" s="2"/>
      <c r="K1" s="2"/>
      <c r="L1" s="2"/>
      <c r="M1" s="2"/>
      <c r="N1" s="2"/>
      <c r="O1" s="2"/>
      <c r="P1" s="2"/>
      <c r="Q1" s="2"/>
      <c r="R1" s="2"/>
      <c r="S1" s="2"/>
      <c r="T1" s="2"/>
      <c r="U1" s="2"/>
      <c r="V1" s="2"/>
      <c r="W1" s="2"/>
      <c r="X1" s="2"/>
      <c r="Y1" s="2"/>
      <c r="Z1" s="2"/>
    </row>
    <row r="2" ht="24.0" customHeight="1">
      <c r="A2" s="1"/>
      <c r="B2" s="92" t="s">
        <v>215</v>
      </c>
      <c r="C2" s="4"/>
      <c r="D2" s="5"/>
      <c r="E2" s="2"/>
      <c r="F2" s="2"/>
      <c r="G2" s="2"/>
      <c r="H2" s="2"/>
      <c r="I2" s="2"/>
      <c r="J2" s="2"/>
      <c r="K2" s="2"/>
      <c r="L2" s="2"/>
      <c r="M2" s="2"/>
      <c r="N2" s="2"/>
      <c r="O2" s="2"/>
      <c r="P2" s="2"/>
      <c r="Q2" s="2"/>
      <c r="R2" s="2"/>
      <c r="S2" s="2"/>
      <c r="T2" s="2"/>
      <c r="U2" s="2"/>
      <c r="V2" s="2"/>
      <c r="W2" s="2"/>
      <c r="X2" s="2"/>
      <c r="Y2" s="2"/>
      <c r="Z2" s="2"/>
    </row>
    <row r="3" ht="15.0" customHeight="1">
      <c r="A3" s="1"/>
      <c r="B3" s="103" t="s">
        <v>216</v>
      </c>
      <c r="C3" s="103" t="s">
        <v>217</v>
      </c>
      <c r="D3" s="103" t="s">
        <v>218</v>
      </c>
      <c r="E3" s="2"/>
      <c r="F3" s="2"/>
      <c r="G3" s="2"/>
      <c r="H3" s="2"/>
      <c r="I3" s="2"/>
      <c r="J3" s="2"/>
      <c r="K3" s="2"/>
      <c r="L3" s="2"/>
      <c r="M3" s="2"/>
      <c r="N3" s="2"/>
      <c r="O3" s="2"/>
      <c r="P3" s="2"/>
      <c r="Q3" s="2"/>
      <c r="R3" s="2"/>
      <c r="S3" s="2"/>
      <c r="T3" s="2"/>
      <c r="U3" s="2"/>
      <c r="V3" s="2"/>
      <c r="W3" s="2"/>
      <c r="X3" s="2"/>
      <c r="Y3" s="2"/>
      <c r="Z3" s="2"/>
    </row>
    <row r="4" ht="15.0" customHeight="1">
      <c r="A4" s="1"/>
      <c r="B4" s="104" t="s">
        <v>167</v>
      </c>
      <c r="C4" s="105" t="s">
        <v>219</v>
      </c>
      <c r="D4" s="105" t="s">
        <v>220</v>
      </c>
      <c r="E4" s="2"/>
      <c r="F4" s="2"/>
      <c r="G4" s="2"/>
      <c r="H4" s="2"/>
      <c r="I4" s="2"/>
      <c r="J4" s="2"/>
      <c r="K4" s="2"/>
      <c r="L4" s="2"/>
      <c r="M4" s="2"/>
      <c r="N4" s="2"/>
      <c r="O4" s="2"/>
      <c r="P4" s="2"/>
      <c r="Q4" s="2"/>
      <c r="R4" s="2"/>
      <c r="S4" s="2"/>
      <c r="T4" s="2"/>
      <c r="U4" s="2"/>
      <c r="V4" s="2"/>
      <c r="W4" s="2"/>
      <c r="X4" s="2"/>
      <c r="Y4" s="2"/>
      <c r="Z4" s="2"/>
    </row>
    <row r="5">
      <c r="A5" s="1"/>
      <c r="B5" s="104" t="s">
        <v>40</v>
      </c>
      <c r="C5" s="105" t="s">
        <v>221</v>
      </c>
      <c r="D5" s="105" t="s">
        <v>222</v>
      </c>
      <c r="E5" s="2"/>
      <c r="F5" s="2"/>
      <c r="G5" s="2"/>
      <c r="H5" s="2"/>
      <c r="I5" s="2"/>
      <c r="J5" s="2"/>
      <c r="K5" s="2"/>
      <c r="L5" s="2"/>
      <c r="M5" s="2"/>
      <c r="N5" s="2"/>
      <c r="O5" s="2"/>
      <c r="P5" s="2"/>
      <c r="Q5" s="2"/>
      <c r="R5" s="2"/>
      <c r="S5" s="2"/>
      <c r="T5" s="2"/>
      <c r="U5" s="2"/>
      <c r="V5" s="2"/>
      <c r="W5" s="2"/>
      <c r="X5" s="2"/>
      <c r="Y5" s="2"/>
      <c r="Z5" s="2"/>
    </row>
    <row r="6" ht="15.0" customHeight="1">
      <c r="A6" s="1"/>
      <c r="B6" s="104" t="s">
        <v>168</v>
      </c>
      <c r="C6" s="105" t="s">
        <v>223</v>
      </c>
      <c r="D6" s="105" t="s">
        <v>224</v>
      </c>
      <c r="E6" s="2"/>
      <c r="F6" s="2"/>
      <c r="G6" s="2"/>
      <c r="H6" s="2"/>
      <c r="I6" s="2"/>
      <c r="J6" s="2"/>
      <c r="K6" s="2"/>
      <c r="L6" s="2"/>
      <c r="M6" s="2"/>
      <c r="N6" s="2"/>
      <c r="O6" s="2"/>
      <c r="P6" s="2"/>
      <c r="Q6" s="2"/>
      <c r="R6" s="2"/>
      <c r="S6" s="2"/>
      <c r="T6" s="2"/>
      <c r="U6" s="2"/>
      <c r="V6" s="2"/>
      <c r="W6" s="2"/>
      <c r="X6" s="2"/>
      <c r="Y6" s="2"/>
      <c r="Z6" s="2"/>
    </row>
    <row r="7" ht="15.0" customHeight="1">
      <c r="A7" s="1"/>
      <c r="B7" s="104" t="s">
        <v>169</v>
      </c>
      <c r="C7" s="105" t="s">
        <v>225</v>
      </c>
      <c r="D7" s="105" t="s">
        <v>224</v>
      </c>
      <c r="E7" s="2"/>
      <c r="F7" s="2"/>
      <c r="G7" s="2"/>
      <c r="H7" s="2"/>
      <c r="I7" s="2"/>
      <c r="J7" s="2"/>
      <c r="K7" s="2"/>
      <c r="L7" s="2"/>
      <c r="M7" s="2"/>
      <c r="N7" s="2"/>
      <c r="O7" s="2"/>
      <c r="P7" s="2"/>
      <c r="Q7" s="2"/>
      <c r="R7" s="2"/>
      <c r="S7" s="2"/>
      <c r="T7" s="2"/>
      <c r="U7" s="2"/>
      <c r="V7" s="2"/>
      <c r="W7" s="2"/>
      <c r="X7" s="2"/>
      <c r="Y7" s="2"/>
      <c r="Z7" s="2"/>
    </row>
    <row r="8" ht="15.0" customHeight="1">
      <c r="A8" s="1"/>
      <c r="B8" s="104" t="s">
        <v>226</v>
      </c>
      <c r="C8" s="105" t="s">
        <v>227</v>
      </c>
      <c r="D8" s="105" t="s">
        <v>224</v>
      </c>
      <c r="E8" s="2"/>
      <c r="F8" s="2"/>
      <c r="G8" s="2"/>
      <c r="H8" s="2"/>
      <c r="I8" s="2"/>
      <c r="J8" s="2"/>
      <c r="K8" s="2"/>
      <c r="L8" s="2"/>
      <c r="M8" s="2"/>
      <c r="N8" s="2"/>
      <c r="O8" s="2"/>
      <c r="P8" s="2"/>
      <c r="Q8" s="2"/>
      <c r="R8" s="2"/>
      <c r="S8" s="2"/>
      <c r="T8" s="2"/>
      <c r="U8" s="2"/>
      <c r="V8" s="2"/>
      <c r="W8" s="2"/>
      <c r="X8" s="2"/>
      <c r="Y8" s="2"/>
      <c r="Z8" s="2"/>
    </row>
    <row r="9">
      <c r="A9" s="1"/>
      <c r="B9" s="104" t="s">
        <v>228</v>
      </c>
      <c r="C9" s="105" t="s">
        <v>229</v>
      </c>
      <c r="D9" s="105" t="s">
        <v>230</v>
      </c>
      <c r="E9" s="2"/>
      <c r="F9" s="2"/>
      <c r="G9" s="2"/>
      <c r="H9" s="2"/>
      <c r="I9" s="2"/>
      <c r="J9" s="2"/>
      <c r="K9" s="2"/>
      <c r="L9" s="2"/>
      <c r="M9" s="2"/>
      <c r="N9" s="2"/>
      <c r="O9" s="2"/>
      <c r="P9" s="2"/>
      <c r="Q9" s="2"/>
      <c r="R9" s="2"/>
      <c r="S9" s="2"/>
      <c r="T9" s="2"/>
      <c r="U9" s="2"/>
      <c r="V9" s="2"/>
      <c r="W9" s="2"/>
      <c r="X9" s="2"/>
      <c r="Y9" s="2"/>
      <c r="Z9" s="2"/>
    </row>
    <row r="10" ht="15.0" customHeight="1">
      <c r="A10" s="1"/>
      <c r="B10" s="104" t="s">
        <v>231</v>
      </c>
      <c r="C10" s="105" t="s">
        <v>232</v>
      </c>
      <c r="D10" s="106" t="s">
        <v>233</v>
      </c>
      <c r="E10" s="2"/>
      <c r="F10" s="2"/>
      <c r="G10" s="2"/>
      <c r="H10" s="2"/>
      <c r="I10" s="2"/>
      <c r="J10" s="2"/>
      <c r="K10" s="2"/>
      <c r="L10" s="2"/>
      <c r="M10" s="2"/>
      <c r="N10" s="2"/>
      <c r="O10" s="2"/>
      <c r="P10" s="2"/>
      <c r="Q10" s="2"/>
      <c r="R10" s="2"/>
      <c r="S10" s="2"/>
      <c r="T10" s="2"/>
      <c r="U10" s="2"/>
      <c r="V10" s="2"/>
      <c r="W10" s="2"/>
      <c r="X10" s="2"/>
      <c r="Y10" s="2"/>
      <c r="Z10" s="2"/>
    </row>
    <row r="11" ht="15.0" customHeight="1">
      <c r="A11" s="1"/>
      <c r="B11" s="104" t="s">
        <v>234</v>
      </c>
      <c r="C11" s="105" t="s">
        <v>235</v>
      </c>
      <c r="D11" s="106" t="s">
        <v>236</v>
      </c>
      <c r="E11" s="2"/>
      <c r="F11" s="2"/>
      <c r="G11" s="2"/>
      <c r="H11" s="2"/>
      <c r="I11" s="2"/>
      <c r="J11" s="2"/>
      <c r="K11" s="2"/>
      <c r="L11" s="2"/>
      <c r="M11" s="2"/>
      <c r="N11" s="2"/>
      <c r="O11" s="2"/>
      <c r="P11" s="2"/>
      <c r="Q11" s="2"/>
      <c r="R11" s="2"/>
      <c r="S11" s="2"/>
      <c r="T11" s="2"/>
      <c r="U11" s="2"/>
      <c r="V11" s="2"/>
      <c r="W11" s="2"/>
      <c r="X11" s="2"/>
      <c r="Y11" s="2"/>
      <c r="Z11" s="2"/>
    </row>
    <row r="12" ht="15.0" customHeight="1">
      <c r="A12" s="1"/>
      <c r="B12" s="104" t="s">
        <v>155</v>
      </c>
      <c r="C12" s="105" t="s">
        <v>237</v>
      </c>
      <c r="D12" s="106" t="s">
        <v>238</v>
      </c>
      <c r="E12" s="2"/>
      <c r="F12" s="2"/>
      <c r="G12" s="2"/>
      <c r="H12" s="2"/>
      <c r="I12" s="2"/>
      <c r="J12" s="2"/>
      <c r="K12" s="2"/>
      <c r="L12" s="2"/>
      <c r="M12" s="2"/>
      <c r="N12" s="2"/>
      <c r="O12" s="2"/>
      <c r="P12" s="2"/>
      <c r="Q12" s="2"/>
      <c r="R12" s="2"/>
      <c r="S12" s="2"/>
      <c r="T12" s="2"/>
      <c r="U12" s="2"/>
      <c r="V12" s="2"/>
      <c r="W12" s="2"/>
      <c r="X12" s="2"/>
      <c r="Y12" s="2"/>
      <c r="Z12" s="2"/>
    </row>
    <row r="13" ht="15.0" customHeight="1">
      <c r="A13" s="1"/>
      <c r="B13" s="104" t="s">
        <v>172</v>
      </c>
      <c r="C13" s="105" t="s">
        <v>239</v>
      </c>
      <c r="D13" s="106" t="s">
        <v>240</v>
      </c>
      <c r="E13" s="2"/>
      <c r="F13" s="2"/>
      <c r="G13" s="2"/>
      <c r="H13" s="2"/>
      <c r="I13" s="2"/>
      <c r="J13" s="2"/>
      <c r="K13" s="2"/>
      <c r="L13" s="2"/>
      <c r="M13" s="2"/>
      <c r="N13" s="2"/>
      <c r="O13" s="2"/>
      <c r="P13" s="2"/>
      <c r="Q13" s="2"/>
      <c r="R13" s="2"/>
      <c r="S13" s="2"/>
      <c r="T13" s="2"/>
      <c r="U13" s="2"/>
      <c r="V13" s="2"/>
      <c r="W13" s="2"/>
      <c r="X13" s="2"/>
      <c r="Y13" s="2"/>
      <c r="Z13" s="2"/>
    </row>
    <row r="14" ht="15.0" customHeight="1">
      <c r="A14" s="1"/>
      <c r="B14" s="104" t="s">
        <v>241</v>
      </c>
      <c r="C14" s="105" t="s">
        <v>242</v>
      </c>
      <c r="D14" s="106" t="s">
        <v>243</v>
      </c>
      <c r="E14" s="2"/>
      <c r="F14" s="2"/>
      <c r="G14" s="2"/>
      <c r="H14" s="2"/>
      <c r="I14" s="2"/>
      <c r="J14" s="2"/>
      <c r="K14" s="2"/>
      <c r="L14" s="2"/>
      <c r="M14" s="2"/>
      <c r="N14" s="2"/>
      <c r="O14" s="2"/>
      <c r="P14" s="2"/>
      <c r="Q14" s="2"/>
      <c r="R14" s="2"/>
      <c r="S14" s="2"/>
      <c r="T14" s="2"/>
      <c r="U14" s="2"/>
      <c r="V14" s="2"/>
      <c r="W14" s="2"/>
      <c r="X14" s="2"/>
      <c r="Y14" s="2"/>
      <c r="Z14" s="2"/>
    </row>
    <row r="15" ht="15.0" customHeight="1">
      <c r="A15" s="1"/>
      <c r="B15" s="104" t="s">
        <v>244</v>
      </c>
      <c r="C15" s="105" t="s">
        <v>245</v>
      </c>
      <c r="D15" s="106" t="s">
        <v>246</v>
      </c>
      <c r="E15" s="2"/>
      <c r="F15" s="2"/>
      <c r="G15" s="2"/>
      <c r="H15" s="2"/>
      <c r="I15" s="2"/>
      <c r="J15" s="2"/>
      <c r="K15" s="2"/>
      <c r="L15" s="2"/>
      <c r="M15" s="2"/>
      <c r="N15" s="2"/>
      <c r="O15" s="2"/>
      <c r="P15" s="2"/>
      <c r="Q15" s="2"/>
      <c r="R15" s="2"/>
      <c r="S15" s="2"/>
      <c r="T15" s="2"/>
      <c r="U15" s="2"/>
      <c r="V15" s="2"/>
      <c r="W15" s="2"/>
      <c r="X15" s="2"/>
      <c r="Y15" s="2"/>
      <c r="Z15" s="2"/>
    </row>
    <row r="16" ht="15.0" customHeight="1">
      <c r="A16" s="1"/>
      <c r="B16" s="104" t="s">
        <v>247</v>
      </c>
      <c r="C16" s="105" t="s">
        <v>248</v>
      </c>
      <c r="D16" s="106" t="s">
        <v>249</v>
      </c>
      <c r="E16" s="2"/>
      <c r="F16" s="2"/>
      <c r="G16" s="2"/>
      <c r="H16" s="2"/>
      <c r="I16" s="2"/>
      <c r="J16" s="2"/>
      <c r="K16" s="2"/>
      <c r="L16" s="2"/>
      <c r="M16" s="2"/>
      <c r="N16" s="2"/>
      <c r="O16" s="2"/>
      <c r="P16" s="2"/>
      <c r="Q16" s="2"/>
      <c r="R16" s="2"/>
      <c r="S16" s="2"/>
      <c r="T16" s="2"/>
      <c r="U16" s="2"/>
      <c r="V16" s="2"/>
      <c r="W16" s="2"/>
      <c r="X16" s="2"/>
      <c r="Y16" s="2"/>
      <c r="Z16" s="2"/>
    </row>
    <row r="17">
      <c r="A17" s="1"/>
      <c r="B17" s="1"/>
      <c r="C17" s="1"/>
      <c r="D17" s="1"/>
      <c r="E17" s="2"/>
      <c r="F17" s="2"/>
      <c r="G17" s="2"/>
      <c r="H17" s="2"/>
      <c r="I17" s="2"/>
      <c r="J17" s="2"/>
      <c r="K17" s="2"/>
      <c r="L17" s="2"/>
      <c r="M17" s="2"/>
      <c r="N17" s="2"/>
      <c r="O17" s="2"/>
      <c r="P17" s="2"/>
      <c r="Q17" s="2"/>
      <c r="R17" s="2"/>
      <c r="S17" s="2"/>
      <c r="T17" s="2"/>
      <c r="U17" s="2"/>
      <c r="V17" s="2"/>
      <c r="W17" s="2"/>
      <c r="X17" s="2"/>
      <c r="Y17" s="2"/>
      <c r="Z17" s="2"/>
    </row>
    <row r="18" ht="15.0" customHeight="1">
      <c r="A18" s="1"/>
      <c r="B18" s="97" t="s">
        <v>250</v>
      </c>
      <c r="E18" s="2"/>
      <c r="F18" s="2"/>
      <c r="G18" s="2"/>
      <c r="H18" s="2"/>
      <c r="I18" s="2"/>
      <c r="J18" s="2"/>
      <c r="K18" s="2"/>
      <c r="L18" s="2"/>
      <c r="M18" s="2"/>
      <c r="N18" s="2"/>
      <c r="O18" s="2"/>
      <c r="P18" s="2"/>
      <c r="Q18" s="2"/>
      <c r="R18" s="2"/>
      <c r="S18" s="2"/>
      <c r="T18" s="2"/>
      <c r="U18" s="2"/>
      <c r="V18" s="2"/>
      <c r="W18" s="2"/>
      <c r="X18" s="2"/>
      <c r="Y18" s="2"/>
      <c r="Z18" s="2"/>
    </row>
    <row r="19" ht="15.0" customHeight="1">
      <c r="A19" s="1"/>
      <c r="E19" s="2"/>
      <c r="F19" s="2"/>
      <c r="G19" s="2"/>
      <c r="H19" s="2"/>
      <c r="I19" s="2"/>
      <c r="J19" s="2"/>
      <c r="K19" s="2"/>
      <c r="L19" s="2"/>
      <c r="M19" s="2"/>
      <c r="N19" s="2"/>
      <c r="O19" s="2"/>
      <c r="P19" s="2"/>
      <c r="Q19" s="2"/>
      <c r="R19" s="2"/>
      <c r="S19" s="2"/>
      <c r="T19" s="2"/>
      <c r="U19" s="2"/>
      <c r="V19" s="2"/>
      <c r="W19" s="2"/>
      <c r="X19" s="2"/>
      <c r="Y19" s="2"/>
      <c r="Z19" s="2"/>
    </row>
    <row r="20" ht="15.0" customHeight="1">
      <c r="A20" s="1"/>
      <c r="E20" s="2"/>
      <c r="F20" s="2"/>
      <c r="G20" s="2"/>
      <c r="H20" s="2"/>
      <c r="I20" s="2"/>
      <c r="J20" s="2"/>
      <c r="K20" s="2"/>
      <c r="L20" s="2"/>
      <c r="M20" s="2"/>
      <c r="N20" s="2"/>
      <c r="O20" s="2"/>
      <c r="P20" s="2"/>
      <c r="Q20" s="2"/>
      <c r="R20" s="2"/>
      <c r="S20" s="2"/>
      <c r="T20" s="2"/>
      <c r="U20" s="2"/>
      <c r="V20" s="2"/>
      <c r="W20" s="2"/>
      <c r="X20" s="2"/>
      <c r="Y20" s="2"/>
      <c r="Z20" s="2"/>
    </row>
    <row r="21" ht="15.75" customHeight="1">
      <c r="A21" s="1"/>
      <c r="B21" s="1"/>
      <c r="C21" s="1"/>
      <c r="D21" s="1"/>
      <c r="E21" s="2"/>
      <c r="F21" s="2"/>
      <c r="G21" s="2"/>
      <c r="H21" s="2"/>
      <c r="I21" s="2"/>
      <c r="J21" s="2"/>
      <c r="K21" s="2"/>
      <c r="L21" s="2"/>
      <c r="M21" s="2"/>
      <c r="N21" s="2"/>
      <c r="O21" s="2"/>
      <c r="P21" s="2"/>
      <c r="Q21" s="2"/>
      <c r="R21" s="2"/>
      <c r="S21" s="2"/>
      <c r="T21" s="2"/>
      <c r="U21" s="2"/>
      <c r="V21" s="2"/>
      <c r="W21" s="2"/>
      <c r="X21" s="2"/>
      <c r="Y21" s="2"/>
      <c r="Z21" s="2"/>
    </row>
    <row r="22" ht="15.75" customHeight="1">
      <c r="A22" s="1"/>
      <c r="B22" s="1"/>
      <c r="C22" s="1"/>
      <c r="D22" s="1"/>
      <c r="E22" s="2"/>
      <c r="F22" s="2"/>
      <c r="G22" s="2"/>
      <c r="H22" s="2"/>
      <c r="I22" s="2"/>
      <c r="J22" s="2"/>
      <c r="K22" s="2"/>
      <c r="L22" s="2"/>
      <c r="M22" s="2"/>
      <c r="N22" s="2"/>
      <c r="O22" s="2"/>
      <c r="P22" s="2"/>
      <c r="Q22" s="2"/>
      <c r="R22" s="2"/>
      <c r="S22" s="2"/>
      <c r="T22" s="2"/>
      <c r="U22" s="2"/>
      <c r="V22" s="2"/>
      <c r="W22" s="2"/>
      <c r="X22" s="2"/>
      <c r="Y22" s="2"/>
      <c r="Z22" s="2"/>
    </row>
    <row r="23" ht="15.75" customHeight="1">
      <c r="A23" s="1"/>
      <c r="B23" s="1"/>
      <c r="C23" s="1"/>
      <c r="D23" s="1"/>
      <c r="E23" s="2"/>
      <c r="F23" s="2"/>
      <c r="G23" s="2"/>
      <c r="H23" s="2"/>
      <c r="I23" s="2"/>
      <c r="J23" s="2"/>
      <c r="K23" s="2"/>
      <c r="L23" s="2"/>
      <c r="M23" s="2"/>
      <c r="N23" s="2"/>
      <c r="O23" s="2"/>
      <c r="P23" s="2"/>
      <c r="Q23" s="2"/>
      <c r="R23" s="2"/>
      <c r="S23" s="2"/>
      <c r="T23" s="2"/>
      <c r="U23" s="2"/>
      <c r="V23" s="2"/>
      <c r="W23" s="2"/>
      <c r="X23" s="2"/>
      <c r="Y23" s="2"/>
      <c r="Z23" s="2"/>
    </row>
    <row r="24" ht="15.75" customHeight="1">
      <c r="A24" s="1"/>
      <c r="B24" s="1"/>
      <c r="C24" s="1"/>
      <c r="D24" s="1"/>
      <c r="E24" s="2"/>
      <c r="F24" s="2"/>
      <c r="G24" s="2"/>
      <c r="H24" s="2"/>
      <c r="I24" s="2"/>
      <c r="J24" s="2"/>
      <c r="K24" s="2"/>
      <c r="L24" s="2"/>
      <c r="M24" s="2"/>
      <c r="N24" s="2"/>
      <c r="O24" s="2"/>
      <c r="P24" s="2"/>
      <c r="Q24" s="2"/>
      <c r="R24" s="2"/>
      <c r="S24" s="2"/>
      <c r="T24" s="2"/>
      <c r="U24" s="2"/>
      <c r="V24" s="2"/>
      <c r="W24" s="2"/>
      <c r="X24" s="2"/>
      <c r="Y24" s="2"/>
      <c r="Z24" s="2"/>
    </row>
    <row r="25" ht="15.75" customHeight="1">
      <c r="A25" s="1"/>
      <c r="B25" s="1"/>
      <c r="C25" s="1"/>
      <c r="D25" s="1"/>
      <c r="E25" s="2"/>
      <c r="F25" s="2"/>
      <c r="G25" s="2"/>
      <c r="H25" s="2"/>
      <c r="I25" s="2"/>
      <c r="J25" s="2"/>
      <c r="K25" s="2"/>
      <c r="L25" s="2"/>
      <c r="M25" s="2"/>
      <c r="N25" s="2"/>
      <c r="O25" s="2"/>
      <c r="P25" s="2"/>
      <c r="Q25" s="2"/>
      <c r="R25" s="2"/>
      <c r="S25" s="2"/>
      <c r="T25" s="2"/>
      <c r="U25" s="2"/>
      <c r="V25" s="2"/>
      <c r="W25" s="2"/>
      <c r="X25" s="2"/>
      <c r="Y25" s="2"/>
      <c r="Z25" s="2"/>
    </row>
    <row r="26" ht="15.75" customHeight="1">
      <c r="A26" s="1"/>
      <c r="B26" s="1"/>
      <c r="C26" s="1"/>
      <c r="D26" s="1"/>
      <c r="E26" s="2"/>
      <c r="F26" s="2"/>
      <c r="G26" s="2"/>
      <c r="H26" s="2"/>
      <c r="I26" s="2"/>
      <c r="J26" s="2"/>
      <c r="K26" s="2"/>
      <c r="L26" s="2"/>
      <c r="M26" s="2"/>
      <c r="N26" s="2"/>
      <c r="O26" s="2"/>
      <c r="P26" s="2"/>
      <c r="Q26" s="2"/>
      <c r="R26" s="2"/>
      <c r="S26" s="2"/>
      <c r="T26" s="2"/>
      <c r="U26" s="2"/>
      <c r="V26" s="2"/>
      <c r="W26" s="2"/>
      <c r="X26" s="2"/>
      <c r="Y26" s="2"/>
      <c r="Z26" s="2"/>
    </row>
    <row r="27" ht="15.75" customHeight="1">
      <c r="A27" s="1"/>
      <c r="B27" s="1"/>
      <c r="C27" s="1"/>
      <c r="D27" s="1"/>
      <c r="E27" s="2"/>
      <c r="F27" s="2"/>
      <c r="G27" s="2"/>
      <c r="H27" s="2"/>
      <c r="I27" s="2"/>
      <c r="J27" s="2"/>
      <c r="K27" s="2"/>
      <c r="L27" s="2"/>
      <c r="M27" s="2"/>
      <c r="N27" s="2"/>
      <c r="O27" s="2"/>
      <c r="P27" s="2"/>
      <c r="Q27" s="2"/>
      <c r="R27" s="2"/>
      <c r="S27" s="2"/>
      <c r="T27" s="2"/>
      <c r="U27" s="2"/>
      <c r="V27" s="2"/>
      <c r="W27" s="2"/>
      <c r="X27" s="2"/>
      <c r="Y27" s="2"/>
      <c r="Z27" s="2"/>
    </row>
    <row r="28" ht="15.75" customHeight="1">
      <c r="A28" s="1"/>
      <c r="B28" s="1"/>
      <c r="C28" s="1"/>
      <c r="D28" s="1"/>
      <c r="E28" s="2"/>
      <c r="F28" s="2"/>
      <c r="G28" s="2"/>
      <c r="H28" s="2"/>
      <c r="I28" s="2"/>
      <c r="J28" s="2"/>
      <c r="K28" s="2"/>
      <c r="L28" s="2"/>
      <c r="M28" s="2"/>
      <c r="N28" s="2"/>
      <c r="O28" s="2"/>
      <c r="P28" s="2"/>
      <c r="Q28" s="2"/>
      <c r="R28" s="2"/>
      <c r="S28" s="2"/>
      <c r="T28" s="2"/>
      <c r="U28" s="2"/>
      <c r="V28" s="2"/>
      <c r="W28" s="2"/>
      <c r="X28" s="2"/>
      <c r="Y28" s="2"/>
      <c r="Z28" s="2"/>
    </row>
    <row r="29" ht="15.75" customHeight="1">
      <c r="A29" s="1"/>
      <c r="B29" s="1"/>
      <c r="C29" s="1"/>
      <c r="D29" s="1"/>
      <c r="E29" s="2"/>
      <c r="F29" s="2"/>
      <c r="G29" s="2"/>
      <c r="H29" s="2"/>
      <c r="I29" s="2"/>
      <c r="J29" s="2"/>
      <c r="K29" s="2"/>
      <c r="L29" s="2"/>
      <c r="M29" s="2"/>
      <c r="N29" s="2"/>
      <c r="O29" s="2"/>
      <c r="P29" s="2"/>
      <c r="Q29" s="2"/>
      <c r="R29" s="2"/>
      <c r="S29" s="2"/>
      <c r="T29" s="2"/>
      <c r="U29" s="2"/>
      <c r="V29" s="2"/>
      <c r="W29" s="2"/>
      <c r="X29" s="2"/>
      <c r="Y29" s="2"/>
      <c r="Z29" s="2"/>
    </row>
    <row r="30" ht="15.75" customHeight="1">
      <c r="A30" s="1"/>
      <c r="B30" s="1"/>
      <c r="C30" s="1"/>
      <c r="D30" s="1"/>
      <c r="E30" s="2"/>
      <c r="F30" s="2"/>
      <c r="G30" s="2"/>
      <c r="H30" s="2"/>
      <c r="I30" s="2"/>
      <c r="J30" s="2"/>
      <c r="K30" s="2"/>
      <c r="L30" s="2"/>
      <c r="M30" s="2"/>
      <c r="N30" s="2"/>
      <c r="O30" s="2"/>
      <c r="P30" s="2"/>
      <c r="Q30" s="2"/>
      <c r="R30" s="2"/>
      <c r="S30" s="2"/>
      <c r="T30" s="2"/>
      <c r="U30" s="2"/>
      <c r="V30" s="2"/>
      <c r="W30" s="2"/>
      <c r="X30" s="2"/>
      <c r="Y30" s="2"/>
      <c r="Z30" s="2"/>
    </row>
    <row r="31" ht="15.75" customHeight="1">
      <c r="A31" s="1"/>
      <c r="B31" s="1"/>
      <c r="C31" s="1"/>
      <c r="D31" s="1"/>
      <c r="E31" s="2"/>
      <c r="F31" s="2"/>
      <c r="G31" s="2"/>
      <c r="H31" s="2"/>
      <c r="I31" s="2"/>
      <c r="J31" s="2"/>
      <c r="K31" s="2"/>
      <c r="L31" s="2"/>
      <c r="M31" s="2"/>
      <c r="N31" s="2"/>
      <c r="O31" s="2"/>
      <c r="P31" s="2"/>
      <c r="Q31" s="2"/>
      <c r="R31" s="2"/>
      <c r="S31" s="2"/>
      <c r="T31" s="2"/>
      <c r="U31" s="2"/>
      <c r="V31" s="2"/>
      <c r="W31" s="2"/>
      <c r="X31" s="2"/>
      <c r="Y31" s="2"/>
      <c r="Z31" s="2"/>
    </row>
    <row r="32" ht="15.75" customHeight="1">
      <c r="A32" s="1"/>
      <c r="B32" s="1"/>
      <c r="C32" s="1"/>
      <c r="D32" s="1"/>
      <c r="E32" s="2"/>
      <c r="F32" s="2"/>
      <c r="G32" s="2"/>
      <c r="H32" s="2"/>
      <c r="I32" s="2"/>
      <c r="J32" s="2"/>
      <c r="K32" s="2"/>
      <c r="L32" s="2"/>
      <c r="M32" s="2"/>
      <c r="N32" s="2"/>
      <c r="O32" s="2"/>
      <c r="P32" s="2"/>
      <c r="Q32" s="2"/>
      <c r="R32" s="2"/>
      <c r="S32" s="2"/>
      <c r="T32" s="2"/>
      <c r="U32" s="2"/>
      <c r="V32" s="2"/>
      <c r="W32" s="2"/>
      <c r="X32" s="2"/>
      <c r="Y32" s="2"/>
      <c r="Z32" s="2"/>
    </row>
    <row r="33" ht="15.75" customHeight="1">
      <c r="A33" s="1"/>
      <c r="B33" s="1"/>
      <c r="C33" s="1"/>
      <c r="D33" s="1"/>
      <c r="E33" s="2"/>
      <c r="F33" s="2"/>
      <c r="G33" s="2"/>
      <c r="H33" s="2"/>
      <c r="I33" s="2"/>
      <c r="J33" s="2"/>
      <c r="K33" s="2"/>
      <c r="L33" s="2"/>
      <c r="M33" s="2"/>
      <c r="N33" s="2"/>
      <c r="O33" s="2"/>
      <c r="P33" s="2"/>
      <c r="Q33" s="2"/>
      <c r="R33" s="2"/>
      <c r="S33" s="2"/>
      <c r="T33" s="2"/>
      <c r="U33" s="2"/>
      <c r="V33" s="2"/>
      <c r="W33" s="2"/>
      <c r="X33" s="2"/>
      <c r="Y33" s="2"/>
      <c r="Z33" s="2"/>
    </row>
    <row r="34" ht="15.75" customHeight="1">
      <c r="A34" s="1"/>
      <c r="B34" s="1"/>
      <c r="C34" s="1"/>
      <c r="D34" s="1"/>
      <c r="E34" s="2"/>
      <c r="F34" s="2"/>
      <c r="G34" s="2"/>
      <c r="H34" s="2"/>
      <c r="I34" s="2"/>
      <c r="J34" s="2"/>
      <c r="K34" s="2"/>
      <c r="L34" s="2"/>
      <c r="M34" s="2"/>
      <c r="N34" s="2"/>
      <c r="O34" s="2"/>
      <c r="P34" s="2"/>
      <c r="Q34" s="2"/>
      <c r="R34" s="2"/>
      <c r="S34" s="2"/>
      <c r="T34" s="2"/>
      <c r="U34" s="2"/>
      <c r="V34" s="2"/>
      <c r="W34" s="2"/>
      <c r="X34" s="2"/>
      <c r="Y34" s="2"/>
      <c r="Z34" s="2"/>
    </row>
    <row r="35" ht="15.75" customHeight="1">
      <c r="A35" s="1"/>
      <c r="B35" s="1"/>
      <c r="C35" s="1"/>
      <c r="D35" s="1"/>
      <c r="E35" s="2"/>
      <c r="F35" s="2"/>
      <c r="G35" s="2"/>
      <c r="H35" s="2"/>
      <c r="I35" s="2"/>
      <c r="J35" s="2"/>
      <c r="K35" s="2"/>
      <c r="L35" s="2"/>
      <c r="M35" s="2"/>
      <c r="N35" s="2"/>
      <c r="O35" s="2"/>
      <c r="P35" s="2"/>
      <c r="Q35" s="2"/>
      <c r="R35" s="2"/>
      <c r="S35" s="2"/>
      <c r="T35" s="2"/>
      <c r="U35" s="2"/>
      <c r="V35" s="2"/>
      <c r="W35" s="2"/>
      <c r="X35" s="2"/>
      <c r="Y35" s="2"/>
      <c r="Z35" s="2"/>
    </row>
    <row r="36" ht="15.75" customHeight="1">
      <c r="A36" s="1"/>
      <c r="B36" s="1"/>
      <c r="C36" s="1"/>
      <c r="D36" s="1"/>
      <c r="E36" s="2"/>
      <c r="F36" s="2"/>
      <c r="G36" s="2"/>
      <c r="H36" s="2"/>
      <c r="I36" s="2"/>
      <c r="J36" s="2"/>
      <c r="K36" s="2"/>
      <c r="L36" s="2"/>
      <c r="M36" s="2"/>
      <c r="N36" s="2"/>
      <c r="O36" s="2"/>
      <c r="P36" s="2"/>
      <c r="Q36" s="2"/>
      <c r="R36" s="2"/>
      <c r="S36" s="2"/>
      <c r="T36" s="2"/>
      <c r="U36" s="2"/>
      <c r="V36" s="2"/>
      <c r="W36" s="2"/>
      <c r="X36" s="2"/>
      <c r="Y36" s="2"/>
      <c r="Z36" s="2"/>
    </row>
    <row r="37" ht="15.75" customHeight="1">
      <c r="A37" s="1"/>
      <c r="B37" s="1"/>
      <c r="C37" s="1"/>
      <c r="D37" s="1"/>
      <c r="E37" s="2"/>
      <c r="F37" s="2"/>
      <c r="G37" s="2"/>
      <c r="H37" s="2"/>
      <c r="I37" s="2"/>
      <c r="J37" s="2"/>
      <c r="K37" s="2"/>
      <c r="L37" s="2"/>
      <c r="M37" s="2"/>
      <c r="N37" s="2"/>
      <c r="O37" s="2"/>
      <c r="P37" s="2"/>
      <c r="Q37" s="2"/>
      <c r="R37" s="2"/>
      <c r="S37" s="2"/>
      <c r="T37" s="2"/>
      <c r="U37" s="2"/>
      <c r="V37" s="2"/>
      <c r="W37" s="2"/>
      <c r="X37" s="2"/>
      <c r="Y37" s="2"/>
      <c r="Z37" s="2"/>
    </row>
    <row r="38" ht="15.75" customHeight="1">
      <c r="A38" s="1"/>
      <c r="B38" s="1"/>
      <c r="C38" s="1"/>
      <c r="D38" s="1"/>
      <c r="E38" s="2"/>
      <c r="F38" s="2"/>
      <c r="G38" s="2"/>
      <c r="H38" s="2"/>
      <c r="I38" s="2"/>
      <c r="J38" s="2"/>
      <c r="K38" s="2"/>
      <c r="L38" s="2"/>
      <c r="M38" s="2"/>
      <c r="N38" s="2"/>
      <c r="O38" s="2"/>
      <c r="P38" s="2"/>
      <c r="Q38" s="2"/>
      <c r="R38" s="2"/>
      <c r="S38" s="2"/>
      <c r="T38" s="2"/>
      <c r="U38" s="2"/>
      <c r="V38" s="2"/>
      <c r="W38" s="2"/>
      <c r="X38" s="2"/>
      <c r="Y38" s="2"/>
      <c r="Z38" s="2"/>
    </row>
    <row r="39" ht="15.75" customHeight="1">
      <c r="A39" s="1"/>
      <c r="B39" s="1"/>
      <c r="C39" s="1"/>
      <c r="D39" s="1"/>
      <c r="E39" s="2"/>
      <c r="F39" s="2"/>
      <c r="G39" s="2"/>
      <c r="H39" s="2"/>
      <c r="I39" s="2"/>
      <c r="J39" s="2"/>
      <c r="K39" s="2"/>
      <c r="L39" s="2"/>
      <c r="M39" s="2"/>
      <c r="N39" s="2"/>
      <c r="O39" s="2"/>
      <c r="P39" s="2"/>
      <c r="Q39" s="2"/>
      <c r="R39" s="2"/>
      <c r="S39" s="2"/>
      <c r="T39" s="2"/>
      <c r="U39" s="2"/>
      <c r="V39" s="2"/>
      <c r="W39" s="2"/>
      <c r="X39" s="2"/>
      <c r="Y39" s="2"/>
      <c r="Z39" s="2"/>
    </row>
    <row r="40" ht="15.75" customHeight="1">
      <c r="A40" s="1"/>
      <c r="B40" s="1"/>
      <c r="C40" s="1"/>
      <c r="D40" s="1"/>
      <c r="E40" s="2"/>
      <c r="F40" s="2"/>
      <c r="G40" s="2"/>
      <c r="H40" s="2"/>
      <c r="I40" s="2"/>
      <c r="J40" s="2"/>
      <c r="K40" s="2"/>
      <c r="L40" s="2"/>
      <c r="M40" s="2"/>
      <c r="N40" s="2"/>
      <c r="O40" s="2"/>
      <c r="P40" s="2"/>
      <c r="Q40" s="2"/>
      <c r="R40" s="2"/>
      <c r="S40" s="2"/>
      <c r="T40" s="2"/>
      <c r="U40" s="2"/>
      <c r="V40" s="2"/>
      <c r="W40" s="2"/>
      <c r="X40" s="2"/>
      <c r="Y40" s="2"/>
      <c r="Z40" s="2"/>
    </row>
    <row r="41" ht="15.75" customHeight="1">
      <c r="A41" s="1"/>
      <c r="B41" s="1"/>
      <c r="C41" s="1"/>
      <c r="D41" s="1"/>
      <c r="E41" s="2"/>
      <c r="F41" s="2"/>
      <c r="G41" s="2"/>
      <c r="H41" s="2"/>
      <c r="I41" s="2"/>
      <c r="J41" s="2"/>
      <c r="K41" s="2"/>
      <c r="L41" s="2"/>
      <c r="M41" s="2"/>
      <c r="N41" s="2"/>
      <c r="O41" s="2"/>
      <c r="P41" s="2"/>
      <c r="Q41" s="2"/>
      <c r="R41" s="2"/>
      <c r="S41" s="2"/>
      <c r="T41" s="2"/>
      <c r="U41" s="2"/>
      <c r="V41" s="2"/>
      <c r="W41" s="2"/>
      <c r="X41" s="2"/>
      <c r="Y41" s="2"/>
      <c r="Z41" s="2"/>
    </row>
    <row r="42" ht="15.75" customHeight="1">
      <c r="A42" s="1"/>
      <c r="B42" s="1"/>
      <c r="C42" s="1"/>
      <c r="D42" s="1"/>
      <c r="E42" s="2"/>
      <c r="F42" s="2"/>
      <c r="G42" s="2"/>
      <c r="H42" s="2"/>
      <c r="I42" s="2"/>
      <c r="J42" s="2"/>
      <c r="K42" s="2"/>
      <c r="L42" s="2"/>
      <c r="M42" s="2"/>
      <c r="N42" s="2"/>
      <c r="O42" s="2"/>
      <c r="P42" s="2"/>
      <c r="Q42" s="2"/>
      <c r="R42" s="2"/>
      <c r="S42" s="2"/>
      <c r="T42" s="2"/>
      <c r="U42" s="2"/>
      <c r="V42" s="2"/>
      <c r="W42" s="2"/>
      <c r="X42" s="2"/>
      <c r="Y42" s="2"/>
      <c r="Z42" s="2"/>
    </row>
    <row r="43" ht="15.75" customHeight="1">
      <c r="A43" s="1"/>
      <c r="B43" s="1"/>
      <c r="C43" s="1"/>
      <c r="D43" s="1"/>
      <c r="E43" s="2"/>
      <c r="F43" s="2"/>
      <c r="G43" s="2"/>
      <c r="H43" s="2"/>
      <c r="I43" s="2"/>
      <c r="J43" s="2"/>
      <c r="K43" s="2"/>
      <c r="L43" s="2"/>
      <c r="M43" s="2"/>
      <c r="N43" s="2"/>
      <c r="O43" s="2"/>
      <c r="P43" s="2"/>
      <c r="Q43" s="2"/>
      <c r="R43" s="2"/>
      <c r="S43" s="2"/>
      <c r="T43" s="2"/>
      <c r="U43" s="2"/>
      <c r="V43" s="2"/>
      <c r="W43" s="2"/>
      <c r="X43" s="2"/>
      <c r="Y43" s="2"/>
      <c r="Z43" s="2"/>
    </row>
    <row r="44" ht="15.75" customHeight="1">
      <c r="A44" s="1"/>
      <c r="B44" s="1"/>
      <c r="C44" s="1"/>
      <c r="D44" s="1"/>
      <c r="E44" s="2"/>
      <c r="F44" s="2"/>
      <c r="G44" s="2"/>
      <c r="H44" s="2"/>
      <c r="I44" s="2"/>
      <c r="J44" s="2"/>
      <c r="K44" s="2"/>
      <c r="L44" s="2"/>
      <c r="M44" s="2"/>
      <c r="N44" s="2"/>
      <c r="O44" s="2"/>
      <c r="P44" s="2"/>
      <c r="Q44" s="2"/>
      <c r="R44" s="2"/>
      <c r="S44" s="2"/>
      <c r="T44" s="2"/>
      <c r="U44" s="2"/>
      <c r="V44" s="2"/>
      <c r="W44" s="2"/>
      <c r="X44" s="2"/>
      <c r="Y44" s="2"/>
      <c r="Z44" s="2"/>
    </row>
    <row r="45" ht="15.75" customHeight="1">
      <c r="A45" s="1"/>
      <c r="B45" s="1"/>
      <c r="C45" s="1"/>
      <c r="D45" s="1"/>
      <c r="E45" s="2"/>
      <c r="F45" s="2"/>
      <c r="G45" s="2"/>
      <c r="H45" s="2"/>
      <c r="I45" s="2"/>
      <c r="J45" s="2"/>
      <c r="K45" s="2"/>
      <c r="L45" s="2"/>
      <c r="M45" s="2"/>
      <c r="N45" s="2"/>
      <c r="O45" s="2"/>
      <c r="P45" s="2"/>
      <c r="Q45" s="2"/>
      <c r="R45" s="2"/>
      <c r="S45" s="2"/>
      <c r="T45" s="2"/>
      <c r="U45" s="2"/>
      <c r="V45" s="2"/>
      <c r="W45" s="2"/>
      <c r="X45" s="2"/>
      <c r="Y45" s="2"/>
      <c r="Z45" s="2"/>
    </row>
    <row r="46" ht="15.75" customHeight="1">
      <c r="A46" s="1"/>
      <c r="B46" s="1"/>
      <c r="C46" s="1"/>
      <c r="D46" s="1"/>
      <c r="E46" s="2"/>
      <c r="F46" s="2"/>
      <c r="G46" s="2"/>
      <c r="H46" s="2"/>
      <c r="I46" s="2"/>
      <c r="J46" s="2"/>
      <c r="K46" s="2"/>
      <c r="L46" s="2"/>
      <c r="M46" s="2"/>
      <c r="N46" s="2"/>
      <c r="O46" s="2"/>
      <c r="P46" s="2"/>
      <c r="Q46" s="2"/>
      <c r="R46" s="2"/>
      <c r="S46" s="2"/>
      <c r="T46" s="2"/>
      <c r="U46" s="2"/>
      <c r="V46" s="2"/>
      <c r="W46" s="2"/>
      <c r="X46" s="2"/>
      <c r="Y46" s="2"/>
      <c r="Z46" s="2"/>
    </row>
    <row r="47" ht="15.75" customHeight="1">
      <c r="A47" s="1"/>
      <c r="B47" s="1"/>
      <c r="C47" s="1"/>
      <c r="D47" s="1"/>
      <c r="E47" s="2"/>
      <c r="F47" s="2"/>
      <c r="G47" s="2"/>
      <c r="H47" s="2"/>
      <c r="I47" s="2"/>
      <c r="J47" s="2"/>
      <c r="K47" s="2"/>
      <c r="L47" s="2"/>
      <c r="M47" s="2"/>
      <c r="N47" s="2"/>
      <c r="O47" s="2"/>
      <c r="P47" s="2"/>
      <c r="Q47" s="2"/>
      <c r="R47" s="2"/>
      <c r="S47" s="2"/>
      <c r="T47" s="2"/>
      <c r="U47" s="2"/>
      <c r="V47" s="2"/>
      <c r="W47" s="2"/>
      <c r="X47" s="2"/>
      <c r="Y47" s="2"/>
      <c r="Z47" s="2"/>
    </row>
    <row r="48" ht="15.75" customHeight="1">
      <c r="A48" s="1"/>
      <c r="B48" s="1"/>
      <c r="C48" s="1"/>
      <c r="D48" s="1"/>
      <c r="E48" s="2"/>
      <c r="F48" s="2"/>
      <c r="G48" s="2"/>
      <c r="H48" s="2"/>
      <c r="I48" s="2"/>
      <c r="J48" s="2"/>
      <c r="K48" s="2"/>
      <c r="L48" s="2"/>
      <c r="M48" s="2"/>
      <c r="N48" s="2"/>
      <c r="O48" s="2"/>
      <c r="P48" s="2"/>
      <c r="Q48" s="2"/>
      <c r="R48" s="2"/>
      <c r="S48" s="2"/>
      <c r="T48" s="2"/>
      <c r="U48" s="2"/>
      <c r="V48" s="2"/>
      <c r="W48" s="2"/>
      <c r="X48" s="2"/>
      <c r="Y48" s="2"/>
      <c r="Z48" s="2"/>
    </row>
    <row r="49" ht="15.75" customHeight="1">
      <c r="A49" s="1"/>
      <c r="B49" s="1"/>
      <c r="C49" s="1"/>
      <c r="D49" s="1"/>
      <c r="E49" s="2"/>
      <c r="F49" s="2"/>
      <c r="G49" s="2"/>
      <c r="H49" s="2"/>
      <c r="I49" s="2"/>
      <c r="J49" s="2"/>
      <c r="K49" s="2"/>
      <c r="L49" s="2"/>
      <c r="M49" s="2"/>
      <c r="N49" s="2"/>
      <c r="O49" s="2"/>
      <c r="P49" s="2"/>
      <c r="Q49" s="2"/>
      <c r="R49" s="2"/>
      <c r="S49" s="2"/>
      <c r="T49" s="2"/>
      <c r="U49" s="2"/>
      <c r="V49" s="2"/>
      <c r="W49" s="2"/>
      <c r="X49" s="2"/>
      <c r="Y49" s="2"/>
      <c r="Z49" s="2"/>
    </row>
    <row r="50" ht="15.75" customHeight="1">
      <c r="A50" s="1"/>
      <c r="B50" s="1"/>
      <c r="C50" s="1"/>
      <c r="D50" s="1"/>
      <c r="E50" s="2"/>
      <c r="F50" s="2"/>
      <c r="G50" s="2"/>
      <c r="H50" s="2"/>
      <c r="I50" s="2"/>
      <c r="J50" s="2"/>
      <c r="K50" s="2"/>
      <c r="L50" s="2"/>
      <c r="M50" s="2"/>
      <c r="N50" s="2"/>
      <c r="O50" s="2"/>
      <c r="P50" s="2"/>
      <c r="Q50" s="2"/>
      <c r="R50" s="2"/>
      <c r="S50" s="2"/>
      <c r="T50" s="2"/>
      <c r="U50" s="2"/>
      <c r="V50" s="2"/>
      <c r="W50" s="2"/>
      <c r="X50" s="2"/>
      <c r="Y50" s="2"/>
      <c r="Z50" s="2"/>
    </row>
    <row r="51" ht="15.75" customHeight="1">
      <c r="A51" s="1"/>
      <c r="B51" s="1"/>
      <c r="C51" s="1"/>
      <c r="D51" s="1"/>
      <c r="E51" s="2"/>
      <c r="F51" s="2"/>
      <c r="G51" s="2"/>
      <c r="H51" s="2"/>
      <c r="I51" s="2"/>
      <c r="J51" s="2"/>
      <c r="K51" s="2"/>
      <c r="L51" s="2"/>
      <c r="M51" s="2"/>
      <c r="N51" s="2"/>
      <c r="O51" s="2"/>
      <c r="P51" s="2"/>
      <c r="Q51" s="2"/>
      <c r="R51" s="2"/>
      <c r="S51" s="2"/>
      <c r="T51" s="2"/>
      <c r="U51" s="2"/>
      <c r="V51" s="2"/>
      <c r="W51" s="2"/>
      <c r="X51" s="2"/>
      <c r="Y51" s="2"/>
      <c r="Z51" s="2"/>
    </row>
    <row r="52" ht="15.75" customHeight="1">
      <c r="A52" s="1"/>
      <c r="B52" s="1"/>
      <c r="C52" s="1"/>
      <c r="D52" s="1"/>
      <c r="E52" s="2"/>
      <c r="F52" s="2"/>
      <c r="G52" s="2"/>
      <c r="H52" s="2"/>
      <c r="I52" s="2"/>
      <c r="J52" s="2"/>
      <c r="K52" s="2"/>
      <c r="L52" s="2"/>
      <c r="M52" s="2"/>
      <c r="N52" s="2"/>
      <c r="O52" s="2"/>
      <c r="P52" s="2"/>
      <c r="Q52" s="2"/>
      <c r="R52" s="2"/>
      <c r="S52" s="2"/>
      <c r="T52" s="2"/>
      <c r="U52" s="2"/>
      <c r="V52" s="2"/>
      <c r="W52" s="2"/>
      <c r="X52" s="2"/>
      <c r="Y52" s="2"/>
      <c r="Z52" s="2"/>
    </row>
    <row r="53" ht="15.75" customHeight="1">
      <c r="A53" s="1"/>
      <c r="B53" s="1"/>
      <c r="C53" s="1"/>
      <c r="D53" s="1"/>
      <c r="E53" s="2"/>
      <c r="F53" s="2"/>
      <c r="G53" s="2"/>
      <c r="H53" s="2"/>
      <c r="I53" s="2"/>
      <c r="J53" s="2"/>
      <c r="K53" s="2"/>
      <c r="L53" s="2"/>
      <c r="M53" s="2"/>
      <c r="N53" s="2"/>
      <c r="O53" s="2"/>
      <c r="P53" s="2"/>
      <c r="Q53" s="2"/>
      <c r="R53" s="2"/>
      <c r="S53" s="2"/>
      <c r="T53" s="2"/>
      <c r="U53" s="2"/>
      <c r="V53" s="2"/>
      <c r="W53" s="2"/>
      <c r="X53" s="2"/>
      <c r="Y53" s="2"/>
      <c r="Z53" s="2"/>
    </row>
    <row r="54" ht="15.75" customHeight="1">
      <c r="A54" s="1"/>
      <c r="B54" s="1"/>
      <c r="C54" s="1"/>
      <c r="D54" s="1"/>
      <c r="E54" s="2"/>
      <c r="F54" s="2"/>
      <c r="G54" s="2"/>
      <c r="H54" s="2"/>
      <c r="I54" s="2"/>
      <c r="J54" s="2"/>
      <c r="K54" s="2"/>
      <c r="L54" s="2"/>
      <c r="M54" s="2"/>
      <c r="N54" s="2"/>
      <c r="O54" s="2"/>
      <c r="P54" s="2"/>
      <c r="Q54" s="2"/>
      <c r="R54" s="2"/>
      <c r="S54" s="2"/>
      <c r="T54" s="2"/>
      <c r="U54" s="2"/>
      <c r="V54" s="2"/>
      <c r="W54" s="2"/>
      <c r="X54" s="2"/>
      <c r="Y54" s="2"/>
      <c r="Z54" s="2"/>
    </row>
    <row r="55" ht="15.75" customHeight="1">
      <c r="A55" s="1"/>
      <c r="B55" s="1"/>
      <c r="C55" s="1"/>
      <c r="D55" s="1"/>
      <c r="E55" s="2"/>
      <c r="F55" s="2"/>
      <c r="G55" s="2"/>
      <c r="H55" s="2"/>
      <c r="I55" s="2"/>
      <c r="J55" s="2"/>
      <c r="K55" s="2"/>
      <c r="L55" s="2"/>
      <c r="M55" s="2"/>
      <c r="N55" s="2"/>
      <c r="O55" s="2"/>
      <c r="P55" s="2"/>
      <c r="Q55" s="2"/>
      <c r="R55" s="2"/>
      <c r="S55" s="2"/>
      <c r="T55" s="2"/>
      <c r="U55" s="2"/>
      <c r="V55" s="2"/>
      <c r="W55" s="2"/>
      <c r="X55" s="2"/>
      <c r="Y55" s="2"/>
      <c r="Z55" s="2"/>
    </row>
    <row r="56" ht="15.75" customHeight="1">
      <c r="A56" s="1"/>
      <c r="B56" s="1"/>
      <c r="C56" s="1"/>
      <c r="D56" s="1"/>
      <c r="E56" s="2"/>
      <c r="F56" s="2"/>
      <c r="G56" s="2"/>
      <c r="H56" s="2"/>
      <c r="I56" s="2"/>
      <c r="J56" s="2"/>
      <c r="K56" s="2"/>
      <c r="L56" s="2"/>
      <c r="M56" s="2"/>
      <c r="N56" s="2"/>
      <c r="O56" s="2"/>
      <c r="P56" s="2"/>
      <c r="Q56" s="2"/>
      <c r="R56" s="2"/>
      <c r="S56" s="2"/>
      <c r="T56" s="2"/>
      <c r="U56" s="2"/>
      <c r="V56" s="2"/>
      <c r="W56" s="2"/>
      <c r="X56" s="2"/>
      <c r="Y56" s="2"/>
      <c r="Z56" s="2"/>
    </row>
    <row r="57" ht="15.75" customHeight="1">
      <c r="A57" s="1"/>
      <c r="B57" s="1"/>
      <c r="C57" s="1"/>
      <c r="D57" s="1"/>
      <c r="E57" s="2"/>
      <c r="F57" s="2"/>
      <c r="G57" s="2"/>
      <c r="H57" s="2"/>
      <c r="I57" s="2"/>
      <c r="J57" s="2"/>
      <c r="K57" s="2"/>
      <c r="L57" s="2"/>
      <c r="M57" s="2"/>
      <c r="N57" s="2"/>
      <c r="O57" s="2"/>
      <c r="P57" s="2"/>
      <c r="Q57" s="2"/>
      <c r="R57" s="2"/>
      <c r="S57" s="2"/>
      <c r="T57" s="2"/>
      <c r="U57" s="2"/>
      <c r="V57" s="2"/>
      <c r="W57" s="2"/>
      <c r="X57" s="2"/>
      <c r="Y57" s="2"/>
      <c r="Z57" s="2"/>
    </row>
    <row r="58" ht="15.75" customHeight="1">
      <c r="A58" s="1"/>
      <c r="B58" s="1"/>
      <c r="C58" s="1"/>
      <c r="D58" s="1"/>
      <c r="E58" s="2"/>
      <c r="F58" s="2"/>
      <c r="G58" s="2"/>
      <c r="H58" s="2"/>
      <c r="I58" s="2"/>
      <c r="J58" s="2"/>
      <c r="K58" s="2"/>
      <c r="L58" s="2"/>
      <c r="M58" s="2"/>
      <c r="N58" s="2"/>
      <c r="O58" s="2"/>
      <c r="P58" s="2"/>
      <c r="Q58" s="2"/>
      <c r="R58" s="2"/>
      <c r="S58" s="2"/>
      <c r="T58" s="2"/>
      <c r="U58" s="2"/>
      <c r="V58" s="2"/>
      <c r="W58" s="2"/>
      <c r="X58" s="2"/>
      <c r="Y58" s="2"/>
      <c r="Z58" s="2"/>
    </row>
    <row r="59" ht="15.75" customHeight="1">
      <c r="A59" s="1"/>
      <c r="B59" s="1"/>
      <c r="C59" s="1"/>
      <c r="D59" s="1"/>
      <c r="E59" s="2"/>
      <c r="F59" s="2"/>
      <c r="G59" s="2"/>
      <c r="H59" s="2"/>
      <c r="I59" s="2"/>
      <c r="J59" s="2"/>
      <c r="K59" s="2"/>
      <c r="L59" s="2"/>
      <c r="M59" s="2"/>
      <c r="N59" s="2"/>
      <c r="O59" s="2"/>
      <c r="P59" s="2"/>
      <c r="Q59" s="2"/>
      <c r="R59" s="2"/>
      <c r="S59" s="2"/>
      <c r="T59" s="2"/>
      <c r="U59" s="2"/>
      <c r="V59" s="2"/>
      <c r="W59" s="2"/>
      <c r="X59" s="2"/>
      <c r="Y59" s="2"/>
      <c r="Z59" s="2"/>
    </row>
    <row r="60" ht="15.75" customHeight="1">
      <c r="A60" s="1"/>
      <c r="B60" s="1"/>
      <c r="C60" s="1"/>
      <c r="D60" s="1"/>
      <c r="E60" s="2"/>
      <c r="F60" s="2"/>
      <c r="G60" s="2"/>
      <c r="H60" s="2"/>
      <c r="I60" s="2"/>
      <c r="J60" s="2"/>
      <c r="K60" s="2"/>
      <c r="L60" s="2"/>
      <c r="M60" s="2"/>
      <c r="N60" s="2"/>
      <c r="O60" s="2"/>
      <c r="P60" s="2"/>
      <c r="Q60" s="2"/>
      <c r="R60" s="2"/>
      <c r="S60" s="2"/>
      <c r="T60" s="2"/>
      <c r="U60" s="2"/>
      <c r="V60" s="2"/>
      <c r="W60" s="2"/>
      <c r="X60" s="2"/>
      <c r="Y60" s="2"/>
      <c r="Z60" s="2"/>
    </row>
    <row r="61" ht="15.75" customHeight="1">
      <c r="A61" s="1"/>
      <c r="B61" s="1"/>
      <c r="C61" s="1"/>
      <c r="D61" s="1"/>
      <c r="E61" s="2"/>
      <c r="F61" s="2"/>
      <c r="G61" s="2"/>
      <c r="H61" s="2"/>
      <c r="I61" s="2"/>
      <c r="J61" s="2"/>
      <c r="K61" s="2"/>
      <c r="L61" s="2"/>
      <c r="M61" s="2"/>
      <c r="N61" s="2"/>
      <c r="O61" s="2"/>
      <c r="P61" s="2"/>
      <c r="Q61" s="2"/>
      <c r="R61" s="2"/>
      <c r="S61" s="2"/>
      <c r="T61" s="2"/>
      <c r="U61" s="2"/>
      <c r="V61" s="2"/>
      <c r="W61" s="2"/>
      <c r="X61" s="2"/>
      <c r="Y61" s="2"/>
      <c r="Z61" s="2"/>
    </row>
    <row r="62" ht="15.75" customHeight="1">
      <c r="A62" s="1"/>
      <c r="B62" s="1"/>
      <c r="C62" s="1"/>
      <c r="D62" s="1"/>
      <c r="E62" s="2"/>
      <c r="F62" s="2"/>
      <c r="G62" s="2"/>
      <c r="H62" s="2"/>
      <c r="I62" s="2"/>
      <c r="J62" s="2"/>
      <c r="K62" s="2"/>
      <c r="L62" s="2"/>
      <c r="M62" s="2"/>
      <c r="N62" s="2"/>
      <c r="O62" s="2"/>
      <c r="P62" s="2"/>
      <c r="Q62" s="2"/>
      <c r="R62" s="2"/>
      <c r="S62" s="2"/>
      <c r="T62" s="2"/>
      <c r="U62" s="2"/>
      <c r="V62" s="2"/>
      <c r="W62" s="2"/>
      <c r="X62" s="2"/>
      <c r="Y62" s="2"/>
      <c r="Z62" s="2"/>
    </row>
    <row r="63" ht="15.75" customHeight="1">
      <c r="A63" s="1"/>
      <c r="B63" s="1"/>
      <c r="C63" s="1"/>
      <c r="D63" s="1"/>
      <c r="E63" s="2"/>
      <c r="F63" s="2"/>
      <c r="G63" s="2"/>
      <c r="H63" s="2"/>
      <c r="I63" s="2"/>
      <c r="J63" s="2"/>
      <c r="K63" s="2"/>
      <c r="L63" s="2"/>
      <c r="M63" s="2"/>
      <c r="N63" s="2"/>
      <c r="O63" s="2"/>
      <c r="P63" s="2"/>
      <c r="Q63" s="2"/>
      <c r="R63" s="2"/>
      <c r="S63" s="2"/>
      <c r="T63" s="2"/>
      <c r="U63" s="2"/>
      <c r="V63" s="2"/>
      <c r="W63" s="2"/>
      <c r="X63" s="2"/>
      <c r="Y63" s="2"/>
      <c r="Z63" s="2"/>
    </row>
    <row r="64" ht="15.75" customHeight="1">
      <c r="A64" s="1"/>
      <c r="B64" s="1"/>
      <c r="C64" s="1"/>
      <c r="D64" s="1"/>
      <c r="E64" s="2"/>
      <c r="F64" s="2"/>
      <c r="G64" s="2"/>
      <c r="H64" s="2"/>
      <c r="I64" s="2"/>
      <c r="J64" s="2"/>
      <c r="K64" s="2"/>
      <c r="L64" s="2"/>
      <c r="M64" s="2"/>
      <c r="N64" s="2"/>
      <c r="O64" s="2"/>
      <c r="P64" s="2"/>
      <c r="Q64" s="2"/>
      <c r="R64" s="2"/>
      <c r="S64" s="2"/>
      <c r="T64" s="2"/>
      <c r="U64" s="2"/>
      <c r="V64" s="2"/>
      <c r="W64" s="2"/>
      <c r="X64" s="2"/>
      <c r="Y64" s="2"/>
      <c r="Z64" s="2"/>
    </row>
    <row r="65" ht="15.75" customHeight="1">
      <c r="A65" s="1"/>
      <c r="B65" s="1"/>
      <c r="C65" s="1"/>
      <c r="D65" s="1"/>
      <c r="E65" s="2"/>
      <c r="F65" s="2"/>
      <c r="G65" s="2"/>
      <c r="H65" s="2"/>
      <c r="I65" s="2"/>
      <c r="J65" s="2"/>
      <c r="K65" s="2"/>
      <c r="L65" s="2"/>
      <c r="M65" s="2"/>
      <c r="N65" s="2"/>
      <c r="O65" s="2"/>
      <c r="P65" s="2"/>
      <c r="Q65" s="2"/>
      <c r="R65" s="2"/>
      <c r="S65" s="2"/>
      <c r="T65" s="2"/>
      <c r="U65" s="2"/>
      <c r="V65" s="2"/>
      <c r="W65" s="2"/>
      <c r="X65" s="2"/>
      <c r="Y65" s="2"/>
      <c r="Z65" s="2"/>
    </row>
    <row r="66" ht="15.75" customHeight="1">
      <c r="A66" s="1"/>
      <c r="B66" s="1"/>
      <c r="C66" s="1"/>
      <c r="D66" s="1"/>
      <c r="E66" s="2"/>
      <c r="F66" s="2"/>
      <c r="G66" s="2"/>
      <c r="H66" s="2"/>
      <c r="I66" s="2"/>
      <c r="J66" s="2"/>
      <c r="K66" s="2"/>
      <c r="L66" s="2"/>
      <c r="M66" s="2"/>
      <c r="N66" s="2"/>
      <c r="O66" s="2"/>
      <c r="P66" s="2"/>
      <c r="Q66" s="2"/>
      <c r="R66" s="2"/>
      <c r="S66" s="2"/>
      <c r="T66" s="2"/>
      <c r="U66" s="2"/>
      <c r="V66" s="2"/>
      <c r="W66" s="2"/>
      <c r="X66" s="2"/>
      <c r="Y66" s="2"/>
      <c r="Z66" s="2"/>
    </row>
    <row r="67" ht="15.75" customHeight="1">
      <c r="A67" s="1"/>
      <c r="B67" s="1"/>
      <c r="C67" s="1"/>
      <c r="D67" s="1"/>
      <c r="E67" s="2"/>
      <c r="F67" s="2"/>
      <c r="G67" s="2"/>
      <c r="H67" s="2"/>
      <c r="I67" s="2"/>
      <c r="J67" s="2"/>
      <c r="K67" s="2"/>
      <c r="L67" s="2"/>
      <c r="M67" s="2"/>
      <c r="N67" s="2"/>
      <c r="O67" s="2"/>
      <c r="P67" s="2"/>
      <c r="Q67" s="2"/>
      <c r="R67" s="2"/>
      <c r="S67" s="2"/>
      <c r="T67" s="2"/>
      <c r="U67" s="2"/>
      <c r="V67" s="2"/>
      <c r="W67" s="2"/>
      <c r="X67" s="2"/>
      <c r="Y67" s="2"/>
      <c r="Z67" s="2"/>
    </row>
    <row r="68" ht="15.75" customHeight="1">
      <c r="A68" s="1"/>
      <c r="B68" s="1"/>
      <c r="C68" s="1"/>
      <c r="D68" s="1"/>
      <c r="E68" s="2"/>
      <c r="F68" s="2"/>
      <c r="G68" s="2"/>
      <c r="H68" s="2"/>
      <c r="I68" s="2"/>
      <c r="J68" s="2"/>
      <c r="K68" s="2"/>
      <c r="L68" s="2"/>
      <c r="M68" s="2"/>
      <c r="N68" s="2"/>
      <c r="O68" s="2"/>
      <c r="P68" s="2"/>
      <c r="Q68" s="2"/>
      <c r="R68" s="2"/>
      <c r="S68" s="2"/>
      <c r="T68" s="2"/>
      <c r="U68" s="2"/>
      <c r="V68" s="2"/>
      <c r="W68" s="2"/>
      <c r="X68" s="2"/>
      <c r="Y68" s="2"/>
      <c r="Z68" s="2"/>
    </row>
    <row r="69" ht="15.75" customHeight="1">
      <c r="A69" s="1"/>
      <c r="B69" s="1"/>
      <c r="C69" s="1"/>
      <c r="D69" s="1"/>
      <c r="E69" s="2"/>
      <c r="F69" s="2"/>
      <c r="G69" s="2"/>
      <c r="H69" s="2"/>
      <c r="I69" s="2"/>
      <c r="J69" s="2"/>
      <c r="K69" s="2"/>
      <c r="L69" s="2"/>
      <c r="M69" s="2"/>
      <c r="N69" s="2"/>
      <c r="O69" s="2"/>
      <c r="P69" s="2"/>
      <c r="Q69" s="2"/>
      <c r="R69" s="2"/>
      <c r="S69" s="2"/>
      <c r="T69" s="2"/>
      <c r="U69" s="2"/>
      <c r="V69" s="2"/>
      <c r="W69" s="2"/>
      <c r="X69" s="2"/>
      <c r="Y69" s="2"/>
      <c r="Z69" s="2"/>
    </row>
    <row r="70" ht="15.75" customHeight="1">
      <c r="A70" s="1"/>
      <c r="B70" s="1"/>
      <c r="C70" s="1"/>
      <c r="D70" s="1"/>
      <c r="E70" s="2"/>
      <c r="F70" s="2"/>
      <c r="G70" s="2"/>
      <c r="H70" s="2"/>
      <c r="I70" s="2"/>
      <c r="J70" s="2"/>
      <c r="K70" s="2"/>
      <c r="L70" s="2"/>
      <c r="M70" s="2"/>
      <c r="N70" s="2"/>
      <c r="O70" s="2"/>
      <c r="P70" s="2"/>
      <c r="Q70" s="2"/>
      <c r="R70" s="2"/>
      <c r="S70" s="2"/>
      <c r="T70" s="2"/>
      <c r="U70" s="2"/>
      <c r="V70" s="2"/>
      <c r="W70" s="2"/>
      <c r="X70" s="2"/>
      <c r="Y70" s="2"/>
      <c r="Z70" s="2"/>
    </row>
    <row r="71" ht="15.75" customHeight="1">
      <c r="A71" s="1"/>
      <c r="B71" s="1"/>
      <c r="C71" s="1"/>
      <c r="D71" s="1"/>
      <c r="E71" s="2"/>
      <c r="F71" s="2"/>
      <c r="G71" s="2"/>
      <c r="H71" s="2"/>
      <c r="I71" s="2"/>
      <c r="J71" s="2"/>
      <c r="K71" s="2"/>
      <c r="L71" s="2"/>
      <c r="M71" s="2"/>
      <c r="N71" s="2"/>
      <c r="O71" s="2"/>
      <c r="P71" s="2"/>
      <c r="Q71" s="2"/>
      <c r="R71" s="2"/>
      <c r="S71" s="2"/>
      <c r="T71" s="2"/>
      <c r="U71" s="2"/>
      <c r="V71" s="2"/>
      <c r="W71" s="2"/>
      <c r="X71" s="2"/>
      <c r="Y71" s="2"/>
      <c r="Z71" s="2"/>
    </row>
    <row r="72" ht="15.75" customHeight="1">
      <c r="A72" s="1"/>
      <c r="B72" s="1"/>
      <c r="C72" s="1"/>
      <c r="D72" s="1"/>
      <c r="E72" s="2"/>
      <c r="F72" s="2"/>
      <c r="G72" s="2"/>
      <c r="H72" s="2"/>
      <c r="I72" s="2"/>
      <c r="J72" s="2"/>
      <c r="K72" s="2"/>
      <c r="L72" s="2"/>
      <c r="M72" s="2"/>
      <c r="N72" s="2"/>
      <c r="O72" s="2"/>
      <c r="P72" s="2"/>
      <c r="Q72" s="2"/>
      <c r="R72" s="2"/>
      <c r="S72" s="2"/>
      <c r="T72" s="2"/>
      <c r="U72" s="2"/>
      <c r="V72" s="2"/>
      <c r="W72" s="2"/>
      <c r="X72" s="2"/>
      <c r="Y72" s="2"/>
      <c r="Z72" s="2"/>
    </row>
    <row r="73" ht="15.75" customHeight="1">
      <c r="A73" s="1"/>
      <c r="B73" s="1"/>
      <c r="C73" s="1"/>
      <c r="D73" s="1"/>
      <c r="E73" s="2"/>
      <c r="F73" s="2"/>
      <c r="G73" s="2"/>
      <c r="H73" s="2"/>
      <c r="I73" s="2"/>
      <c r="J73" s="2"/>
      <c r="K73" s="2"/>
      <c r="L73" s="2"/>
      <c r="M73" s="2"/>
      <c r="N73" s="2"/>
      <c r="O73" s="2"/>
      <c r="P73" s="2"/>
      <c r="Q73" s="2"/>
      <c r="R73" s="2"/>
      <c r="S73" s="2"/>
      <c r="T73" s="2"/>
      <c r="U73" s="2"/>
      <c r="V73" s="2"/>
      <c r="W73" s="2"/>
      <c r="X73" s="2"/>
      <c r="Y73" s="2"/>
      <c r="Z73" s="2"/>
    </row>
    <row r="74" ht="15.75" customHeight="1">
      <c r="A74" s="1"/>
      <c r="B74" s="1"/>
      <c r="C74" s="1"/>
      <c r="D74" s="1"/>
      <c r="E74" s="2"/>
      <c r="F74" s="2"/>
      <c r="G74" s="2"/>
      <c r="H74" s="2"/>
      <c r="I74" s="2"/>
      <c r="J74" s="2"/>
      <c r="K74" s="2"/>
      <c r="L74" s="2"/>
      <c r="M74" s="2"/>
      <c r="N74" s="2"/>
      <c r="O74" s="2"/>
      <c r="P74" s="2"/>
      <c r="Q74" s="2"/>
      <c r="R74" s="2"/>
      <c r="S74" s="2"/>
      <c r="T74" s="2"/>
      <c r="U74" s="2"/>
      <c r="V74" s="2"/>
      <c r="W74" s="2"/>
      <c r="X74" s="2"/>
      <c r="Y74" s="2"/>
      <c r="Z74" s="2"/>
    </row>
    <row r="75" ht="15.75" customHeight="1">
      <c r="A75" s="1"/>
      <c r="B75" s="1"/>
      <c r="C75" s="1"/>
      <c r="D75" s="1"/>
      <c r="E75" s="2"/>
      <c r="F75" s="2"/>
      <c r="G75" s="2"/>
      <c r="H75" s="2"/>
      <c r="I75" s="2"/>
      <c r="J75" s="2"/>
      <c r="K75" s="2"/>
      <c r="L75" s="2"/>
      <c r="M75" s="2"/>
      <c r="N75" s="2"/>
      <c r="O75" s="2"/>
      <c r="P75" s="2"/>
      <c r="Q75" s="2"/>
      <c r="R75" s="2"/>
      <c r="S75" s="2"/>
      <c r="T75" s="2"/>
      <c r="U75" s="2"/>
      <c r="V75" s="2"/>
      <c r="W75" s="2"/>
      <c r="X75" s="2"/>
      <c r="Y75" s="2"/>
      <c r="Z75" s="2"/>
    </row>
    <row r="76" ht="15.75" customHeight="1">
      <c r="A76" s="1"/>
      <c r="B76" s="1"/>
      <c r="C76" s="1"/>
      <c r="D76" s="1"/>
      <c r="E76" s="2"/>
      <c r="F76" s="2"/>
      <c r="G76" s="2"/>
      <c r="H76" s="2"/>
      <c r="I76" s="2"/>
      <c r="J76" s="2"/>
      <c r="K76" s="2"/>
      <c r="L76" s="2"/>
      <c r="M76" s="2"/>
      <c r="N76" s="2"/>
      <c r="O76" s="2"/>
      <c r="P76" s="2"/>
      <c r="Q76" s="2"/>
      <c r="R76" s="2"/>
      <c r="S76" s="2"/>
      <c r="T76" s="2"/>
      <c r="U76" s="2"/>
      <c r="V76" s="2"/>
      <c r="W76" s="2"/>
      <c r="X76" s="2"/>
      <c r="Y76" s="2"/>
      <c r="Z76" s="2"/>
    </row>
    <row r="77" ht="15.75" customHeight="1">
      <c r="A77" s="1"/>
      <c r="B77" s="1"/>
      <c r="C77" s="1"/>
      <c r="D77" s="1"/>
      <c r="E77" s="2"/>
      <c r="F77" s="2"/>
      <c r="G77" s="2"/>
      <c r="H77" s="2"/>
      <c r="I77" s="2"/>
      <c r="J77" s="2"/>
      <c r="K77" s="2"/>
      <c r="L77" s="2"/>
      <c r="M77" s="2"/>
      <c r="N77" s="2"/>
      <c r="O77" s="2"/>
      <c r="P77" s="2"/>
      <c r="Q77" s="2"/>
      <c r="R77" s="2"/>
      <c r="S77" s="2"/>
      <c r="T77" s="2"/>
      <c r="U77" s="2"/>
      <c r="V77" s="2"/>
      <c r="W77" s="2"/>
      <c r="X77" s="2"/>
      <c r="Y77" s="2"/>
      <c r="Z77" s="2"/>
    </row>
    <row r="78" ht="15.75" customHeight="1">
      <c r="A78" s="1"/>
      <c r="B78" s="1"/>
      <c r="C78" s="1"/>
      <c r="D78" s="1"/>
      <c r="E78" s="2"/>
      <c r="F78" s="2"/>
      <c r="G78" s="2"/>
      <c r="H78" s="2"/>
      <c r="I78" s="2"/>
      <c r="J78" s="2"/>
      <c r="K78" s="2"/>
      <c r="L78" s="2"/>
      <c r="M78" s="2"/>
      <c r="N78" s="2"/>
      <c r="O78" s="2"/>
      <c r="P78" s="2"/>
      <c r="Q78" s="2"/>
      <c r="R78" s="2"/>
      <c r="S78" s="2"/>
      <c r="T78" s="2"/>
      <c r="U78" s="2"/>
      <c r="V78" s="2"/>
      <c r="W78" s="2"/>
      <c r="X78" s="2"/>
      <c r="Y78" s="2"/>
      <c r="Z78" s="2"/>
    </row>
    <row r="79" ht="15.75" customHeight="1">
      <c r="A79" s="1"/>
      <c r="B79" s="1"/>
      <c r="C79" s="1"/>
      <c r="D79" s="1"/>
      <c r="E79" s="2"/>
      <c r="F79" s="2"/>
      <c r="G79" s="2"/>
      <c r="H79" s="2"/>
      <c r="I79" s="2"/>
      <c r="J79" s="2"/>
      <c r="K79" s="2"/>
      <c r="L79" s="2"/>
      <c r="M79" s="2"/>
      <c r="N79" s="2"/>
      <c r="O79" s="2"/>
      <c r="P79" s="2"/>
      <c r="Q79" s="2"/>
      <c r="R79" s="2"/>
      <c r="S79" s="2"/>
      <c r="T79" s="2"/>
      <c r="U79" s="2"/>
      <c r="V79" s="2"/>
      <c r="W79" s="2"/>
      <c r="X79" s="2"/>
      <c r="Y79" s="2"/>
      <c r="Z79" s="2"/>
    </row>
    <row r="80" ht="15.75" customHeight="1">
      <c r="A80" s="1"/>
      <c r="B80" s="1"/>
      <c r="C80" s="1"/>
      <c r="D80" s="1"/>
      <c r="E80" s="2"/>
      <c r="F80" s="2"/>
      <c r="G80" s="2"/>
      <c r="H80" s="2"/>
      <c r="I80" s="2"/>
      <c r="J80" s="2"/>
      <c r="K80" s="2"/>
      <c r="L80" s="2"/>
      <c r="M80" s="2"/>
      <c r="N80" s="2"/>
      <c r="O80" s="2"/>
      <c r="P80" s="2"/>
      <c r="Q80" s="2"/>
      <c r="R80" s="2"/>
      <c r="S80" s="2"/>
      <c r="T80" s="2"/>
      <c r="U80" s="2"/>
      <c r="V80" s="2"/>
      <c r="W80" s="2"/>
      <c r="X80" s="2"/>
      <c r="Y80" s="2"/>
      <c r="Z80" s="2"/>
    </row>
    <row r="81" ht="15.75" customHeight="1">
      <c r="A81" s="1"/>
      <c r="B81" s="1"/>
      <c r="C81" s="1"/>
      <c r="D81" s="1"/>
      <c r="E81" s="2"/>
      <c r="F81" s="2"/>
      <c r="G81" s="2"/>
      <c r="H81" s="2"/>
      <c r="I81" s="2"/>
      <c r="J81" s="2"/>
      <c r="K81" s="2"/>
      <c r="L81" s="2"/>
      <c r="M81" s="2"/>
      <c r="N81" s="2"/>
      <c r="O81" s="2"/>
      <c r="P81" s="2"/>
      <c r="Q81" s="2"/>
      <c r="R81" s="2"/>
      <c r="S81" s="2"/>
      <c r="T81" s="2"/>
      <c r="U81" s="2"/>
      <c r="V81" s="2"/>
      <c r="W81" s="2"/>
      <c r="X81" s="2"/>
      <c r="Y81" s="2"/>
      <c r="Z81" s="2"/>
    </row>
    <row r="82" ht="15.75" customHeight="1">
      <c r="A82" s="1"/>
      <c r="B82" s="1"/>
      <c r="C82" s="1"/>
      <c r="D82" s="1"/>
      <c r="E82" s="2"/>
      <c r="F82" s="2"/>
      <c r="G82" s="2"/>
      <c r="H82" s="2"/>
      <c r="I82" s="2"/>
      <c r="J82" s="2"/>
      <c r="K82" s="2"/>
      <c r="L82" s="2"/>
      <c r="M82" s="2"/>
      <c r="N82" s="2"/>
      <c r="O82" s="2"/>
      <c r="P82" s="2"/>
      <c r="Q82" s="2"/>
      <c r="R82" s="2"/>
      <c r="S82" s="2"/>
      <c r="T82" s="2"/>
      <c r="U82" s="2"/>
      <c r="V82" s="2"/>
      <c r="W82" s="2"/>
      <c r="X82" s="2"/>
      <c r="Y82" s="2"/>
      <c r="Z82" s="2"/>
    </row>
    <row r="83" ht="15.75" customHeight="1">
      <c r="A83" s="1"/>
      <c r="B83" s="1"/>
      <c r="C83" s="1"/>
      <c r="D83" s="1"/>
      <c r="E83" s="2"/>
      <c r="F83" s="2"/>
      <c r="G83" s="2"/>
      <c r="H83" s="2"/>
      <c r="I83" s="2"/>
      <c r="J83" s="2"/>
      <c r="K83" s="2"/>
      <c r="L83" s="2"/>
      <c r="M83" s="2"/>
      <c r="N83" s="2"/>
      <c r="O83" s="2"/>
      <c r="P83" s="2"/>
      <c r="Q83" s="2"/>
      <c r="R83" s="2"/>
      <c r="S83" s="2"/>
      <c r="T83" s="2"/>
      <c r="U83" s="2"/>
      <c r="V83" s="2"/>
      <c r="W83" s="2"/>
      <c r="X83" s="2"/>
      <c r="Y83" s="2"/>
      <c r="Z83" s="2"/>
    </row>
    <row r="84" ht="15.75" customHeight="1">
      <c r="A84" s="1"/>
      <c r="B84" s="1"/>
      <c r="C84" s="1"/>
      <c r="D84" s="1"/>
      <c r="E84" s="2"/>
      <c r="F84" s="2"/>
      <c r="G84" s="2"/>
      <c r="H84" s="2"/>
      <c r="I84" s="2"/>
      <c r="J84" s="2"/>
      <c r="K84" s="2"/>
      <c r="L84" s="2"/>
      <c r="M84" s="2"/>
      <c r="N84" s="2"/>
      <c r="O84" s="2"/>
      <c r="P84" s="2"/>
      <c r="Q84" s="2"/>
      <c r="R84" s="2"/>
      <c r="S84" s="2"/>
      <c r="T84" s="2"/>
      <c r="U84" s="2"/>
      <c r="V84" s="2"/>
      <c r="W84" s="2"/>
      <c r="X84" s="2"/>
      <c r="Y84" s="2"/>
      <c r="Z84" s="2"/>
    </row>
    <row r="85" ht="15.75" customHeight="1">
      <c r="A85" s="1"/>
      <c r="B85" s="1"/>
      <c r="C85" s="1"/>
      <c r="D85" s="1"/>
      <c r="E85" s="2"/>
      <c r="F85" s="2"/>
      <c r="G85" s="2"/>
      <c r="H85" s="2"/>
      <c r="I85" s="2"/>
      <c r="J85" s="2"/>
      <c r="K85" s="2"/>
      <c r="L85" s="2"/>
      <c r="M85" s="2"/>
      <c r="N85" s="2"/>
      <c r="O85" s="2"/>
      <c r="P85" s="2"/>
      <c r="Q85" s="2"/>
      <c r="R85" s="2"/>
      <c r="S85" s="2"/>
      <c r="T85" s="2"/>
      <c r="U85" s="2"/>
      <c r="V85" s="2"/>
      <c r="W85" s="2"/>
      <c r="X85" s="2"/>
      <c r="Y85" s="2"/>
      <c r="Z85" s="2"/>
    </row>
    <row r="86" ht="15.75" customHeight="1">
      <c r="A86" s="1"/>
      <c r="B86" s="1"/>
      <c r="C86" s="1"/>
      <c r="D86" s="1"/>
      <c r="E86" s="2"/>
      <c r="F86" s="2"/>
      <c r="G86" s="2"/>
      <c r="H86" s="2"/>
      <c r="I86" s="2"/>
      <c r="J86" s="2"/>
      <c r="K86" s="2"/>
      <c r="L86" s="2"/>
      <c r="M86" s="2"/>
      <c r="N86" s="2"/>
      <c r="O86" s="2"/>
      <c r="P86" s="2"/>
      <c r="Q86" s="2"/>
      <c r="R86" s="2"/>
      <c r="S86" s="2"/>
      <c r="T86" s="2"/>
      <c r="U86" s="2"/>
      <c r="V86" s="2"/>
      <c r="W86" s="2"/>
      <c r="X86" s="2"/>
      <c r="Y86" s="2"/>
      <c r="Z86" s="2"/>
    </row>
    <row r="87" ht="15.75" customHeight="1">
      <c r="A87" s="1"/>
      <c r="B87" s="1"/>
      <c r="C87" s="1"/>
      <c r="D87" s="1"/>
      <c r="E87" s="2"/>
      <c r="F87" s="2"/>
      <c r="G87" s="2"/>
      <c r="H87" s="2"/>
      <c r="I87" s="2"/>
      <c r="J87" s="2"/>
      <c r="K87" s="2"/>
      <c r="L87" s="2"/>
      <c r="M87" s="2"/>
      <c r="N87" s="2"/>
      <c r="O87" s="2"/>
      <c r="P87" s="2"/>
      <c r="Q87" s="2"/>
      <c r="R87" s="2"/>
      <c r="S87" s="2"/>
      <c r="T87" s="2"/>
      <c r="U87" s="2"/>
      <c r="V87" s="2"/>
      <c r="W87" s="2"/>
      <c r="X87" s="2"/>
      <c r="Y87" s="2"/>
      <c r="Z87" s="2"/>
    </row>
    <row r="88" ht="15.75" customHeight="1">
      <c r="A88" s="1"/>
      <c r="B88" s="1"/>
      <c r="C88" s="1"/>
      <c r="D88" s="1"/>
      <c r="E88" s="2"/>
      <c r="F88" s="2"/>
      <c r="G88" s="2"/>
      <c r="H88" s="2"/>
      <c r="I88" s="2"/>
      <c r="J88" s="2"/>
      <c r="K88" s="2"/>
      <c r="L88" s="2"/>
      <c r="M88" s="2"/>
      <c r="N88" s="2"/>
      <c r="O88" s="2"/>
      <c r="P88" s="2"/>
      <c r="Q88" s="2"/>
      <c r="R88" s="2"/>
      <c r="S88" s="2"/>
      <c r="T88" s="2"/>
      <c r="U88" s="2"/>
      <c r="V88" s="2"/>
      <c r="W88" s="2"/>
      <c r="X88" s="2"/>
      <c r="Y88" s="2"/>
      <c r="Z88" s="2"/>
    </row>
    <row r="89" ht="15.75" customHeight="1">
      <c r="A89" s="1"/>
      <c r="B89" s="1"/>
      <c r="C89" s="1"/>
      <c r="D89" s="1"/>
      <c r="E89" s="2"/>
      <c r="F89" s="2"/>
      <c r="G89" s="2"/>
      <c r="H89" s="2"/>
      <c r="I89" s="2"/>
      <c r="J89" s="2"/>
      <c r="K89" s="2"/>
      <c r="L89" s="2"/>
      <c r="M89" s="2"/>
      <c r="N89" s="2"/>
      <c r="O89" s="2"/>
      <c r="P89" s="2"/>
      <c r="Q89" s="2"/>
      <c r="R89" s="2"/>
      <c r="S89" s="2"/>
      <c r="T89" s="2"/>
      <c r="U89" s="2"/>
      <c r="V89" s="2"/>
      <c r="W89" s="2"/>
      <c r="X89" s="2"/>
      <c r="Y89" s="2"/>
      <c r="Z89" s="2"/>
    </row>
    <row r="90" ht="15.75" customHeight="1">
      <c r="A90" s="1"/>
      <c r="B90" s="1"/>
      <c r="C90" s="1"/>
      <c r="D90" s="1"/>
      <c r="E90" s="2"/>
      <c r="F90" s="2"/>
      <c r="G90" s="2"/>
      <c r="H90" s="2"/>
      <c r="I90" s="2"/>
      <c r="J90" s="2"/>
      <c r="K90" s="2"/>
      <c r="L90" s="2"/>
      <c r="M90" s="2"/>
      <c r="N90" s="2"/>
      <c r="O90" s="2"/>
      <c r="P90" s="2"/>
      <c r="Q90" s="2"/>
      <c r="R90" s="2"/>
      <c r="S90" s="2"/>
      <c r="T90" s="2"/>
      <c r="U90" s="2"/>
      <c r="V90" s="2"/>
      <c r="W90" s="2"/>
      <c r="X90" s="2"/>
      <c r="Y90" s="2"/>
      <c r="Z90" s="2"/>
    </row>
    <row r="91" ht="15.75" customHeight="1">
      <c r="A91" s="1"/>
      <c r="B91" s="1"/>
      <c r="C91" s="1"/>
      <c r="D91" s="1"/>
      <c r="E91" s="2"/>
      <c r="F91" s="2"/>
      <c r="G91" s="2"/>
      <c r="H91" s="2"/>
      <c r="I91" s="2"/>
      <c r="J91" s="2"/>
      <c r="K91" s="2"/>
      <c r="L91" s="2"/>
      <c r="M91" s="2"/>
      <c r="N91" s="2"/>
      <c r="O91" s="2"/>
      <c r="P91" s="2"/>
      <c r="Q91" s="2"/>
      <c r="R91" s="2"/>
      <c r="S91" s="2"/>
      <c r="T91" s="2"/>
      <c r="U91" s="2"/>
      <c r="V91" s="2"/>
      <c r="W91" s="2"/>
      <c r="X91" s="2"/>
      <c r="Y91" s="2"/>
      <c r="Z91" s="2"/>
    </row>
    <row r="92" ht="15.75" customHeight="1">
      <c r="A92" s="1"/>
      <c r="B92" s="1"/>
      <c r="C92" s="1"/>
      <c r="D92" s="1"/>
      <c r="E92" s="2"/>
      <c r="F92" s="2"/>
      <c r="G92" s="2"/>
      <c r="H92" s="2"/>
      <c r="I92" s="2"/>
      <c r="J92" s="2"/>
      <c r="K92" s="2"/>
      <c r="L92" s="2"/>
      <c r="M92" s="2"/>
      <c r="N92" s="2"/>
      <c r="O92" s="2"/>
      <c r="P92" s="2"/>
      <c r="Q92" s="2"/>
      <c r="R92" s="2"/>
      <c r="S92" s="2"/>
      <c r="T92" s="2"/>
      <c r="U92" s="2"/>
      <c r="V92" s="2"/>
      <c r="W92" s="2"/>
      <c r="X92" s="2"/>
      <c r="Y92" s="2"/>
      <c r="Z92" s="2"/>
    </row>
    <row r="93" ht="15.75" customHeight="1">
      <c r="A93" s="1"/>
      <c r="B93" s="1"/>
      <c r="C93" s="1"/>
      <c r="D93" s="1"/>
      <c r="E93" s="2"/>
      <c r="F93" s="2"/>
      <c r="G93" s="2"/>
      <c r="H93" s="2"/>
      <c r="I93" s="2"/>
      <c r="J93" s="2"/>
      <c r="K93" s="2"/>
      <c r="L93" s="2"/>
      <c r="M93" s="2"/>
      <c r="N93" s="2"/>
      <c r="O93" s="2"/>
      <c r="P93" s="2"/>
      <c r="Q93" s="2"/>
      <c r="R93" s="2"/>
      <c r="S93" s="2"/>
      <c r="T93" s="2"/>
      <c r="U93" s="2"/>
      <c r="V93" s="2"/>
      <c r="W93" s="2"/>
      <c r="X93" s="2"/>
      <c r="Y93" s="2"/>
      <c r="Z93" s="2"/>
    </row>
    <row r="94" ht="15.75" customHeight="1">
      <c r="A94" s="1"/>
      <c r="B94" s="1"/>
      <c r="C94" s="1"/>
      <c r="D94" s="1"/>
      <c r="E94" s="2"/>
      <c r="F94" s="2"/>
      <c r="G94" s="2"/>
      <c r="H94" s="2"/>
      <c r="I94" s="2"/>
      <c r="J94" s="2"/>
      <c r="K94" s="2"/>
      <c r="L94" s="2"/>
      <c r="M94" s="2"/>
      <c r="N94" s="2"/>
      <c r="O94" s="2"/>
      <c r="P94" s="2"/>
      <c r="Q94" s="2"/>
      <c r="R94" s="2"/>
      <c r="S94" s="2"/>
      <c r="T94" s="2"/>
      <c r="U94" s="2"/>
      <c r="V94" s="2"/>
      <c r="W94" s="2"/>
      <c r="X94" s="2"/>
      <c r="Y94" s="2"/>
      <c r="Z94" s="2"/>
    </row>
    <row r="95" ht="15.75" customHeight="1">
      <c r="A95" s="1"/>
      <c r="B95" s="1"/>
      <c r="C95" s="1"/>
      <c r="D95" s="1"/>
      <c r="E95" s="2"/>
      <c r="F95" s="2"/>
      <c r="G95" s="2"/>
      <c r="H95" s="2"/>
      <c r="I95" s="2"/>
      <c r="J95" s="2"/>
      <c r="K95" s="2"/>
      <c r="L95" s="2"/>
      <c r="M95" s="2"/>
      <c r="N95" s="2"/>
      <c r="O95" s="2"/>
      <c r="P95" s="2"/>
      <c r="Q95" s="2"/>
      <c r="R95" s="2"/>
      <c r="S95" s="2"/>
      <c r="T95" s="2"/>
      <c r="U95" s="2"/>
      <c r="V95" s="2"/>
      <c r="W95" s="2"/>
      <c r="X95" s="2"/>
      <c r="Y95" s="2"/>
      <c r="Z95" s="2"/>
    </row>
    <row r="96" ht="15.75" customHeight="1">
      <c r="A96" s="1"/>
      <c r="B96" s="1"/>
      <c r="C96" s="1"/>
      <c r="D96" s="1"/>
      <c r="E96" s="2"/>
      <c r="F96" s="2"/>
      <c r="G96" s="2"/>
      <c r="H96" s="2"/>
      <c r="I96" s="2"/>
      <c r="J96" s="2"/>
      <c r="K96" s="2"/>
      <c r="L96" s="2"/>
      <c r="M96" s="2"/>
      <c r="N96" s="2"/>
      <c r="O96" s="2"/>
      <c r="P96" s="2"/>
      <c r="Q96" s="2"/>
      <c r="R96" s="2"/>
      <c r="S96" s="2"/>
      <c r="T96" s="2"/>
      <c r="U96" s="2"/>
      <c r="V96" s="2"/>
      <c r="W96" s="2"/>
      <c r="X96" s="2"/>
      <c r="Y96" s="2"/>
      <c r="Z96" s="2"/>
    </row>
    <row r="97" ht="15.75" customHeight="1">
      <c r="A97" s="1"/>
      <c r="B97" s="1"/>
      <c r="C97" s="1"/>
      <c r="D97" s="1"/>
      <c r="E97" s="2"/>
      <c r="F97" s="2"/>
      <c r="G97" s="2"/>
      <c r="H97" s="2"/>
      <c r="I97" s="2"/>
      <c r="J97" s="2"/>
      <c r="K97" s="2"/>
      <c r="L97" s="2"/>
      <c r="M97" s="2"/>
      <c r="N97" s="2"/>
      <c r="O97" s="2"/>
      <c r="P97" s="2"/>
      <c r="Q97" s="2"/>
      <c r="R97" s="2"/>
      <c r="S97" s="2"/>
      <c r="T97" s="2"/>
      <c r="U97" s="2"/>
      <c r="V97" s="2"/>
      <c r="W97" s="2"/>
      <c r="X97" s="2"/>
      <c r="Y97" s="2"/>
      <c r="Z97" s="2"/>
    </row>
    <row r="98" ht="15.75" customHeight="1">
      <c r="A98" s="1"/>
      <c r="B98" s="1"/>
      <c r="C98" s="1"/>
      <c r="D98" s="1"/>
      <c r="E98" s="2"/>
      <c r="F98" s="2"/>
      <c r="G98" s="2"/>
      <c r="H98" s="2"/>
      <c r="I98" s="2"/>
      <c r="J98" s="2"/>
      <c r="K98" s="2"/>
      <c r="L98" s="2"/>
      <c r="M98" s="2"/>
      <c r="N98" s="2"/>
      <c r="O98" s="2"/>
      <c r="P98" s="2"/>
      <c r="Q98" s="2"/>
      <c r="R98" s="2"/>
      <c r="S98" s="2"/>
      <c r="T98" s="2"/>
      <c r="U98" s="2"/>
      <c r="V98" s="2"/>
      <c r="W98" s="2"/>
      <c r="X98" s="2"/>
      <c r="Y98" s="2"/>
      <c r="Z98" s="2"/>
    </row>
    <row r="99" ht="15.75" customHeight="1">
      <c r="A99" s="1"/>
      <c r="B99" s="1"/>
      <c r="C99" s="1"/>
      <c r="D99" s="1"/>
      <c r="E99" s="2"/>
      <c r="F99" s="2"/>
      <c r="G99" s="2"/>
      <c r="H99" s="2"/>
      <c r="I99" s="2"/>
      <c r="J99" s="2"/>
      <c r="K99" s="2"/>
      <c r="L99" s="2"/>
      <c r="M99" s="2"/>
      <c r="N99" s="2"/>
      <c r="O99" s="2"/>
      <c r="P99" s="2"/>
      <c r="Q99" s="2"/>
      <c r="R99" s="2"/>
      <c r="S99" s="2"/>
      <c r="T99" s="2"/>
      <c r="U99" s="2"/>
      <c r="V99" s="2"/>
      <c r="W99" s="2"/>
      <c r="X99" s="2"/>
      <c r="Y99" s="2"/>
      <c r="Z99" s="2"/>
    </row>
    <row r="100" ht="15.75" customHeight="1">
      <c r="A100" s="1"/>
      <c r="B100" s="1"/>
      <c r="C100" s="1"/>
      <c r="D100" s="1"/>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1"/>
      <c r="B101" s="1"/>
      <c r="C101" s="1"/>
      <c r="D101" s="1"/>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1"/>
      <c r="B102" s="1"/>
      <c r="C102" s="1"/>
      <c r="D102" s="1"/>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1"/>
      <c r="B103" s="1"/>
      <c r="C103" s="1"/>
      <c r="D103" s="1"/>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1"/>
      <c r="B104" s="1"/>
      <c r="C104" s="1"/>
      <c r="D104" s="1"/>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1"/>
      <c r="B105" s="1"/>
      <c r="C105" s="1"/>
      <c r="D105" s="1"/>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1"/>
      <c r="B106" s="1"/>
      <c r="C106" s="1"/>
      <c r="D106" s="1"/>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1"/>
      <c r="B107" s="1"/>
      <c r="C107" s="1"/>
      <c r="D107" s="1"/>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1"/>
      <c r="B108" s="1"/>
      <c r="C108" s="1"/>
      <c r="D108" s="1"/>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1"/>
      <c r="B109" s="1"/>
      <c r="C109" s="1"/>
      <c r="D109" s="1"/>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1"/>
      <c r="B110" s="1"/>
      <c r="C110" s="1"/>
      <c r="D110" s="1"/>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1"/>
      <c r="B111" s="1"/>
      <c r="C111" s="1"/>
      <c r="D111" s="1"/>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1"/>
      <c r="B112" s="1"/>
      <c r="C112" s="1"/>
      <c r="D112" s="1"/>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1"/>
      <c r="B113" s="1"/>
      <c r="C113" s="1"/>
      <c r="D113" s="1"/>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1"/>
      <c r="B114" s="1"/>
      <c r="C114" s="1"/>
      <c r="D114" s="1"/>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1"/>
      <c r="B115" s="1"/>
      <c r="C115" s="1"/>
      <c r="D115" s="1"/>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1"/>
      <c r="B116" s="1"/>
      <c r="C116" s="1"/>
      <c r="D116" s="1"/>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1"/>
      <c r="B117" s="1"/>
      <c r="C117" s="1"/>
      <c r="D117" s="1"/>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1"/>
      <c r="B118" s="1"/>
      <c r="C118" s="1"/>
      <c r="D118" s="1"/>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1"/>
      <c r="B119" s="1"/>
      <c r="C119" s="1"/>
      <c r="D119" s="1"/>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1"/>
      <c r="B120" s="1"/>
      <c r="C120" s="1"/>
      <c r="D120" s="1"/>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1"/>
      <c r="B121" s="1"/>
      <c r="C121" s="1"/>
      <c r="D121" s="1"/>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1"/>
      <c r="B122" s="1"/>
      <c r="C122" s="1"/>
      <c r="D122" s="1"/>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1"/>
      <c r="B123" s="1"/>
      <c r="C123" s="1"/>
      <c r="D123" s="1"/>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1"/>
      <c r="B124" s="1"/>
      <c r="C124" s="1"/>
      <c r="D124" s="1"/>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1"/>
      <c r="B125" s="1"/>
      <c r="C125" s="1"/>
      <c r="D125" s="1"/>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1"/>
      <c r="B126" s="1"/>
      <c r="C126" s="1"/>
      <c r="D126" s="1"/>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1"/>
      <c r="B127" s="1"/>
      <c r="C127" s="1"/>
      <c r="D127" s="1"/>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1"/>
      <c r="B128" s="1"/>
      <c r="C128" s="1"/>
      <c r="D128" s="1"/>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1"/>
      <c r="B129" s="1"/>
      <c r="C129" s="1"/>
      <c r="D129" s="1"/>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1"/>
      <c r="B130" s="1"/>
      <c r="C130" s="1"/>
      <c r="D130" s="1"/>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1"/>
      <c r="B131" s="1"/>
      <c r="C131" s="1"/>
      <c r="D131" s="1"/>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1"/>
      <c r="B132" s="1"/>
      <c r="C132" s="1"/>
      <c r="D132" s="1"/>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1"/>
      <c r="B133" s="1"/>
      <c r="C133" s="1"/>
      <c r="D133" s="1"/>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1"/>
      <c r="B134" s="1"/>
      <c r="C134" s="1"/>
      <c r="D134" s="1"/>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1"/>
      <c r="B135" s="1"/>
      <c r="C135" s="1"/>
      <c r="D135" s="1"/>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1"/>
      <c r="B136" s="1"/>
      <c r="C136" s="1"/>
      <c r="D136" s="1"/>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1"/>
      <c r="B137" s="1"/>
      <c r="C137" s="1"/>
      <c r="D137" s="1"/>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1"/>
      <c r="B138" s="1"/>
      <c r="C138" s="1"/>
      <c r="D138" s="1"/>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1"/>
      <c r="B139" s="1"/>
      <c r="C139" s="1"/>
      <c r="D139" s="1"/>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1"/>
      <c r="B140" s="1"/>
      <c r="C140" s="1"/>
      <c r="D140" s="1"/>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1"/>
      <c r="B141" s="1"/>
      <c r="C141" s="1"/>
      <c r="D141" s="1"/>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1"/>
      <c r="B142" s="1"/>
      <c r="C142" s="1"/>
      <c r="D142" s="1"/>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1"/>
      <c r="B143" s="1"/>
      <c r="C143" s="1"/>
      <c r="D143" s="1"/>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1"/>
      <c r="B144" s="1"/>
      <c r="C144" s="1"/>
      <c r="D144" s="1"/>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1"/>
      <c r="B145" s="1"/>
      <c r="C145" s="1"/>
      <c r="D145" s="1"/>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1"/>
      <c r="B146" s="1"/>
      <c r="C146" s="1"/>
      <c r="D146" s="1"/>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1"/>
      <c r="B147" s="1"/>
      <c r="C147" s="1"/>
      <c r="D147" s="1"/>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1"/>
      <c r="B148" s="1"/>
      <c r="C148" s="1"/>
      <c r="D148" s="1"/>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1"/>
      <c r="B149" s="1"/>
      <c r="C149" s="1"/>
      <c r="D149" s="1"/>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1"/>
      <c r="B150" s="1"/>
      <c r="C150" s="1"/>
      <c r="D150" s="1"/>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1"/>
      <c r="B151" s="1"/>
      <c r="C151" s="1"/>
      <c r="D151" s="1"/>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1"/>
      <c r="B152" s="1"/>
      <c r="C152" s="1"/>
      <c r="D152" s="1"/>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1"/>
      <c r="B153" s="1"/>
      <c r="C153" s="1"/>
      <c r="D153" s="1"/>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1"/>
      <c r="B154" s="1"/>
      <c r="C154" s="1"/>
      <c r="D154" s="1"/>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1"/>
      <c r="B155" s="1"/>
      <c r="C155" s="1"/>
      <c r="D155" s="1"/>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1"/>
      <c r="B156" s="1"/>
      <c r="C156" s="1"/>
      <c r="D156" s="1"/>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1"/>
      <c r="B157" s="1"/>
      <c r="C157" s="1"/>
      <c r="D157" s="1"/>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1"/>
      <c r="B158" s="1"/>
      <c r="C158" s="1"/>
      <c r="D158" s="1"/>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1"/>
      <c r="B159" s="1"/>
      <c r="C159" s="1"/>
      <c r="D159" s="1"/>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1"/>
      <c r="B160" s="1"/>
      <c r="C160" s="1"/>
      <c r="D160" s="1"/>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1"/>
      <c r="B161" s="1"/>
      <c r="C161" s="1"/>
      <c r="D161" s="1"/>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1"/>
      <c r="B162" s="1"/>
      <c r="C162" s="1"/>
      <c r="D162" s="1"/>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1"/>
      <c r="B163" s="1"/>
      <c r="C163" s="1"/>
      <c r="D163" s="1"/>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1"/>
      <c r="B164" s="1"/>
      <c r="C164" s="1"/>
      <c r="D164" s="1"/>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1"/>
      <c r="B165" s="1"/>
      <c r="C165" s="1"/>
      <c r="D165" s="1"/>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1"/>
      <c r="B166" s="1"/>
      <c r="C166" s="1"/>
      <c r="D166" s="1"/>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1"/>
      <c r="B167" s="1"/>
      <c r="C167" s="1"/>
      <c r="D167" s="1"/>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1"/>
      <c r="B168" s="1"/>
      <c r="C168" s="1"/>
      <c r="D168" s="1"/>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1"/>
      <c r="B169" s="1"/>
      <c r="C169" s="1"/>
      <c r="D169" s="1"/>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1"/>
      <c r="B170" s="1"/>
      <c r="C170" s="1"/>
      <c r="D170" s="1"/>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1"/>
      <c r="B171" s="1"/>
      <c r="C171" s="1"/>
      <c r="D171" s="1"/>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1"/>
      <c r="B172" s="1"/>
      <c r="C172" s="1"/>
      <c r="D172" s="1"/>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1"/>
      <c r="B173" s="1"/>
      <c r="C173" s="1"/>
      <c r="D173" s="1"/>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1"/>
      <c r="B174" s="1"/>
      <c r="C174" s="1"/>
      <c r="D174" s="1"/>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1"/>
      <c r="B175" s="1"/>
      <c r="C175" s="1"/>
      <c r="D175" s="1"/>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1"/>
      <c r="B176" s="1"/>
      <c r="C176" s="1"/>
      <c r="D176" s="1"/>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1"/>
      <c r="B177" s="1"/>
      <c r="C177" s="1"/>
      <c r="D177" s="1"/>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1"/>
      <c r="B178" s="1"/>
      <c r="C178" s="1"/>
      <c r="D178" s="1"/>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1"/>
      <c r="B179" s="1"/>
      <c r="C179" s="1"/>
      <c r="D179" s="1"/>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1"/>
      <c r="B180" s="1"/>
      <c r="C180" s="1"/>
      <c r="D180" s="1"/>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1"/>
      <c r="B181" s="1"/>
      <c r="C181" s="1"/>
      <c r="D181" s="1"/>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1"/>
      <c r="B182" s="1"/>
      <c r="C182" s="1"/>
      <c r="D182" s="1"/>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1"/>
      <c r="B183" s="1"/>
      <c r="C183" s="1"/>
      <c r="D183" s="1"/>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1"/>
      <c r="B184" s="1"/>
      <c r="C184" s="1"/>
      <c r="D184" s="1"/>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1"/>
      <c r="B185" s="1"/>
      <c r="C185" s="1"/>
      <c r="D185" s="1"/>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1"/>
      <c r="B186" s="1"/>
      <c r="C186" s="1"/>
      <c r="D186" s="1"/>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1"/>
      <c r="B187" s="1"/>
      <c r="C187" s="1"/>
      <c r="D187" s="1"/>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1"/>
      <c r="B188" s="1"/>
      <c r="C188" s="1"/>
      <c r="D188" s="1"/>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1"/>
      <c r="B189" s="1"/>
      <c r="C189" s="1"/>
      <c r="D189" s="1"/>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1"/>
      <c r="B190" s="1"/>
      <c r="C190" s="1"/>
      <c r="D190" s="1"/>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1"/>
      <c r="B191" s="1"/>
      <c r="C191" s="1"/>
      <c r="D191" s="1"/>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1"/>
      <c r="B192" s="1"/>
      <c r="C192" s="1"/>
      <c r="D192" s="1"/>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1"/>
      <c r="B193" s="1"/>
      <c r="C193" s="1"/>
      <c r="D193" s="1"/>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1"/>
      <c r="B194" s="1"/>
      <c r="C194" s="1"/>
      <c r="D194" s="1"/>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1"/>
      <c r="B195" s="1"/>
      <c r="C195" s="1"/>
      <c r="D195" s="1"/>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1"/>
      <c r="B196" s="1"/>
      <c r="C196" s="1"/>
      <c r="D196" s="1"/>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1"/>
      <c r="B197" s="1"/>
      <c r="C197" s="1"/>
      <c r="D197" s="1"/>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1"/>
      <c r="B198" s="1"/>
      <c r="C198" s="1"/>
      <c r="D198" s="1"/>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1"/>
      <c r="B199" s="1"/>
      <c r="C199" s="1"/>
      <c r="D199" s="1"/>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1"/>
      <c r="B200" s="1"/>
      <c r="C200" s="1"/>
      <c r="D200" s="1"/>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1"/>
      <c r="B201" s="1"/>
      <c r="C201" s="1"/>
      <c r="D201" s="1"/>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1"/>
      <c r="B202" s="1"/>
      <c r="C202" s="1"/>
      <c r="D202" s="1"/>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1"/>
      <c r="B203" s="1"/>
      <c r="C203" s="1"/>
      <c r="D203" s="1"/>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1"/>
      <c r="B204" s="1"/>
      <c r="C204" s="1"/>
      <c r="D204" s="1"/>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1"/>
      <c r="B205" s="1"/>
      <c r="C205" s="1"/>
      <c r="D205" s="1"/>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1"/>
      <c r="B206" s="1"/>
      <c r="C206" s="1"/>
      <c r="D206" s="1"/>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1"/>
      <c r="B207" s="1"/>
      <c r="C207" s="1"/>
      <c r="D207" s="1"/>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1"/>
      <c r="B208" s="1"/>
      <c r="C208" s="1"/>
      <c r="D208" s="1"/>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1"/>
      <c r="B209" s="1"/>
      <c r="C209" s="1"/>
      <c r="D209" s="1"/>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1"/>
      <c r="B210" s="1"/>
      <c r="C210" s="1"/>
      <c r="D210" s="1"/>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1"/>
      <c r="B211" s="1"/>
      <c r="C211" s="1"/>
      <c r="D211" s="1"/>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1"/>
      <c r="B212" s="1"/>
      <c r="C212" s="1"/>
      <c r="D212" s="1"/>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1"/>
      <c r="B213" s="1"/>
      <c r="C213" s="1"/>
      <c r="D213" s="1"/>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1"/>
      <c r="B214" s="1"/>
      <c r="C214" s="1"/>
      <c r="D214" s="1"/>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1"/>
      <c r="B215" s="1"/>
      <c r="C215" s="1"/>
      <c r="D215" s="1"/>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1"/>
      <c r="B216" s="1"/>
      <c r="C216" s="1"/>
      <c r="D216" s="1"/>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1"/>
      <c r="B217" s="1"/>
      <c r="C217" s="1"/>
      <c r="D217" s="1"/>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1"/>
      <c r="B218" s="1"/>
      <c r="C218" s="1"/>
      <c r="D218" s="1"/>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1"/>
      <c r="B219" s="1"/>
      <c r="C219" s="1"/>
      <c r="D219" s="1"/>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1"/>
      <c r="B220" s="1"/>
      <c r="C220" s="1"/>
      <c r="D220" s="1"/>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B2:D2"/>
    <mergeCell ref="B18:D20"/>
  </mergeCells>
  <printOptions/>
  <pageMargins bottom="1.0" footer="0.0" header="0.0" left="0.75" right="0.75" top="1.0"/>
  <pageSetup paperSize="9" orientation="portrait"/>
  <drawing r:id="rId1"/>
</worksheet>
</file>